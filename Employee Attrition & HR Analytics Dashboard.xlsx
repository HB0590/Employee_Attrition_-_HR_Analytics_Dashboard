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bhoga\Downloads\"/>
    </mc:Choice>
  </mc:AlternateContent>
  <xr:revisionPtr revIDLastSave="0" documentId="13_ncr:1_{C2E3CBFA-0D3D-4E80-BFB9-1CBE131E5476}" xr6:coauthVersionLast="47" xr6:coauthVersionMax="47" xr10:uidLastSave="{00000000-0000-0000-0000-000000000000}"/>
  <bookViews>
    <workbookView xWindow="-108" yWindow="-108" windowWidth="23256" windowHeight="12456" xr2:uid="{848DD949-B54A-4992-B0C1-176DB7FC262F}"/>
  </bookViews>
  <sheets>
    <sheet name="Raw Data" sheetId="1" r:id="rId1"/>
    <sheet name="Calculations" sheetId="2" r:id="rId2"/>
    <sheet name="Analysis" sheetId="3" r:id="rId3"/>
    <sheet name="Dashboard" sheetId="4" r:id="rId4"/>
    <sheet name="Formula Reference" sheetId="6" r:id="rId5"/>
  </sheets>
  <calcPr calcId="191029" iterateDelta="1E-4"/>
  <pivotCaches>
    <pivotCache cacheId="0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4" i="4" l="1"/>
  <c r="E4" i="4"/>
  <c r="B4" i="4"/>
  <c r="B19" i="3" a="1"/>
  <c r="B19" i="3" s="1"/>
  <c r="B18" i="3"/>
  <c r="B17" i="3"/>
  <c r="B16" i="3"/>
  <c r="B15" i="3"/>
  <c r="B14" i="3"/>
  <c r="B13" i="3"/>
  <c r="H10" i="3"/>
  <c r="F10" i="3"/>
  <c r="E10" i="3"/>
  <c r="D10" i="3"/>
  <c r="C10" i="3"/>
  <c r="B10" i="3"/>
  <c r="B5" i="3"/>
  <c r="B6" i="3"/>
  <c r="B7" i="3"/>
  <c r="B8" i="3"/>
  <c r="B9" i="3"/>
  <c r="C5" i="3"/>
  <c r="C6" i="3"/>
  <c r="C7" i="3"/>
  <c r="C8" i="3"/>
  <c r="C9" i="3"/>
  <c r="D5" i="3"/>
  <c r="D6" i="3"/>
  <c r="D7" i="3"/>
  <c r="D8" i="3"/>
  <c r="D9" i="3"/>
  <c r="E9" i="3" s="1"/>
  <c r="E5" i="3"/>
  <c r="E6" i="3"/>
  <c r="E7" i="3"/>
  <c r="E8" i="3"/>
  <c r="F5" i="3"/>
  <c r="F6" i="3"/>
  <c r="F7" i="3"/>
  <c r="F8" i="3"/>
  <c r="F9" i="3"/>
  <c r="H5" i="3"/>
  <c r="H6" i="3"/>
  <c r="H7" i="3"/>
  <c r="H8" i="3"/>
  <c r="H9" i="3"/>
  <c r="H4" i="3"/>
  <c r="F4" i="3"/>
  <c r="E4" i="3"/>
  <c r="D4" i="3"/>
  <c r="C4" i="3"/>
  <c r="B4" i="3"/>
  <c r="M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245" i="2"/>
  <c r="M246" i="2"/>
  <c r="M247" i="2"/>
  <c r="M248" i="2"/>
  <c r="M249" i="2"/>
  <c r="M250" i="2"/>
  <c r="M251" i="2"/>
  <c r="M252" i="2"/>
  <c r="M253" i="2"/>
  <c r="M254" i="2"/>
  <c r="M255" i="2"/>
  <c r="M256" i="2"/>
  <c r="M257" i="2"/>
  <c r="M258" i="2"/>
  <c r="M259" i="2"/>
  <c r="M260" i="2"/>
  <c r="M261" i="2"/>
  <c r="M262" i="2"/>
  <c r="M263" i="2"/>
  <c r="M264" i="2"/>
  <c r="M265" i="2"/>
  <c r="M266" i="2"/>
  <c r="M267" i="2"/>
  <c r="M268" i="2"/>
  <c r="M269" i="2"/>
  <c r="M270" i="2"/>
  <c r="M271" i="2"/>
  <c r="M272" i="2"/>
  <c r="M273" i="2"/>
  <c r="M274" i="2"/>
  <c r="M275" i="2"/>
  <c r="M276" i="2"/>
  <c r="M277" i="2"/>
  <c r="M278" i="2"/>
  <c r="M279" i="2"/>
  <c r="M280" i="2"/>
  <c r="M281" i="2"/>
  <c r="M282" i="2"/>
  <c r="M283" i="2"/>
  <c r="M284" i="2"/>
  <c r="M285" i="2"/>
  <c r="M286" i="2"/>
  <c r="M287" i="2"/>
  <c r="M288" i="2"/>
  <c r="M289" i="2"/>
  <c r="M290" i="2"/>
  <c r="M291" i="2"/>
  <c r="M292" i="2"/>
  <c r="M293" i="2"/>
  <c r="M294" i="2"/>
  <c r="M295" i="2"/>
  <c r="M296" i="2"/>
  <c r="M297" i="2"/>
  <c r="M298" i="2"/>
  <c r="M299" i="2"/>
  <c r="M300" i="2"/>
  <c r="M301" i="2"/>
  <c r="M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12" i="2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K239" i="2"/>
  <c r="K240" i="2"/>
  <c r="K241" i="2"/>
  <c r="K242" i="2"/>
  <c r="K243" i="2"/>
  <c r="K244" i="2"/>
  <c r="K245" i="2"/>
  <c r="K246" i="2"/>
  <c r="K247" i="2"/>
  <c r="K248" i="2"/>
  <c r="K249" i="2"/>
  <c r="K250" i="2"/>
  <c r="K251" i="2"/>
  <c r="K252" i="2"/>
  <c r="K253" i="2"/>
  <c r="K254" i="2"/>
  <c r="K255" i="2"/>
  <c r="K256" i="2"/>
  <c r="K257" i="2"/>
  <c r="K258" i="2"/>
  <c r="K259" i="2"/>
  <c r="K260" i="2"/>
  <c r="K261" i="2"/>
  <c r="K262" i="2"/>
  <c r="K263" i="2"/>
  <c r="K264" i="2"/>
  <c r="K265" i="2"/>
  <c r="K266" i="2"/>
  <c r="K267" i="2"/>
  <c r="K268" i="2"/>
  <c r="K269" i="2"/>
  <c r="K270" i="2"/>
  <c r="K271" i="2"/>
  <c r="K272" i="2"/>
  <c r="K273" i="2"/>
  <c r="K274" i="2"/>
  <c r="K275" i="2"/>
  <c r="K276" i="2"/>
  <c r="K277" i="2"/>
  <c r="K278" i="2"/>
  <c r="K279" i="2"/>
  <c r="K280" i="2"/>
  <c r="K281" i="2"/>
  <c r="K282" i="2"/>
  <c r="K283" i="2"/>
  <c r="K284" i="2"/>
  <c r="K285" i="2"/>
  <c r="K286" i="2"/>
  <c r="K287" i="2"/>
  <c r="K288" i="2"/>
  <c r="K289" i="2"/>
  <c r="K290" i="2"/>
  <c r="K291" i="2"/>
  <c r="K292" i="2"/>
  <c r="K293" i="2"/>
  <c r="K294" i="2"/>
  <c r="K295" i="2"/>
  <c r="K296" i="2"/>
  <c r="K297" i="2"/>
  <c r="K298" i="2"/>
  <c r="K299" i="2"/>
  <c r="K300" i="2"/>
  <c r="K301" i="2"/>
  <c r="K2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0" i="2"/>
  <c r="J211" i="2"/>
  <c r="J212" i="2"/>
  <c r="J213" i="2"/>
  <c r="J214" i="2"/>
  <c r="J215" i="2"/>
  <c r="J216" i="2"/>
  <c r="J217" i="2"/>
  <c r="J218" i="2"/>
  <c r="J219" i="2"/>
  <c r="J220" i="2"/>
  <c r="J221" i="2"/>
  <c r="J222" i="2"/>
  <c r="J223" i="2"/>
  <c r="J224" i="2"/>
  <c r="J225" i="2"/>
  <c r="J226" i="2"/>
  <c r="J227" i="2"/>
  <c r="J228" i="2"/>
  <c r="J229" i="2"/>
  <c r="J230" i="2"/>
  <c r="J231" i="2"/>
  <c r="J232" i="2"/>
  <c r="J233" i="2"/>
  <c r="J234" i="2"/>
  <c r="J235" i="2"/>
  <c r="J236" i="2"/>
  <c r="J237" i="2"/>
  <c r="J238" i="2"/>
  <c r="J239" i="2"/>
  <c r="J240" i="2"/>
  <c r="J241" i="2"/>
  <c r="J242" i="2"/>
  <c r="J243" i="2"/>
  <c r="J244" i="2"/>
  <c r="J245" i="2"/>
  <c r="J246" i="2"/>
  <c r="J247" i="2"/>
  <c r="J248" i="2"/>
  <c r="J249" i="2"/>
  <c r="J250" i="2"/>
  <c r="J251" i="2"/>
  <c r="J252" i="2"/>
  <c r="J253" i="2"/>
  <c r="J254" i="2"/>
  <c r="J255" i="2"/>
  <c r="J256" i="2"/>
  <c r="J257" i="2"/>
  <c r="J258" i="2"/>
  <c r="J259" i="2"/>
  <c r="J260" i="2"/>
  <c r="J261" i="2"/>
  <c r="J262" i="2"/>
  <c r="J263" i="2"/>
  <c r="J264" i="2"/>
  <c r="J265" i="2"/>
  <c r="J266" i="2"/>
  <c r="J267" i="2"/>
  <c r="J268" i="2"/>
  <c r="J269" i="2"/>
  <c r="J270" i="2"/>
  <c r="J271" i="2"/>
  <c r="J272" i="2"/>
  <c r="J273" i="2"/>
  <c r="J274" i="2"/>
  <c r="J275" i="2"/>
  <c r="J276" i="2"/>
  <c r="J277" i="2"/>
  <c r="J278" i="2"/>
  <c r="J279" i="2"/>
  <c r="J280" i="2"/>
  <c r="J281" i="2"/>
  <c r="J282" i="2"/>
  <c r="J283" i="2"/>
  <c r="J284" i="2"/>
  <c r="J285" i="2"/>
  <c r="J286" i="2"/>
  <c r="J287" i="2"/>
  <c r="J288" i="2"/>
  <c r="J289" i="2"/>
  <c r="J290" i="2"/>
  <c r="J291" i="2"/>
  <c r="J292" i="2"/>
  <c r="J293" i="2"/>
  <c r="J294" i="2"/>
  <c r="J295" i="2"/>
  <c r="J296" i="2"/>
  <c r="J297" i="2"/>
  <c r="J298" i="2"/>
  <c r="J299" i="2"/>
  <c r="J300" i="2"/>
  <c r="J301" i="2"/>
  <c r="J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2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89" i="2"/>
  <c r="I290" i="2"/>
  <c r="I291" i="2"/>
  <c r="I292" i="2"/>
  <c r="I293" i="2"/>
  <c r="I294" i="2"/>
  <c r="I295" i="2"/>
  <c r="I296" i="2"/>
  <c r="I297" i="2"/>
  <c r="I298" i="2"/>
  <c r="I299" i="2"/>
  <c r="I300" i="2"/>
  <c r="I301" i="2"/>
  <c r="I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2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2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2" i="2"/>
  <c r="F243" i="2"/>
  <c r="F244" i="2"/>
  <c r="F245" i="2"/>
  <c r="F246" i="2"/>
  <c r="F247" i="2"/>
  <c r="F248" i="2"/>
  <c r="F249" i="2"/>
  <c r="F250" i="2"/>
  <c r="F251" i="2"/>
  <c r="F252" i="2"/>
  <c r="F253" i="2"/>
  <c r="F254" i="2"/>
  <c r="F255" i="2"/>
  <c r="F256" i="2"/>
  <c r="F257" i="2"/>
  <c r="F258" i="2"/>
  <c r="F259" i="2"/>
  <c r="F260" i="2"/>
  <c r="F261" i="2"/>
  <c r="F262" i="2"/>
  <c r="F263" i="2"/>
  <c r="F264" i="2"/>
  <c r="F265" i="2"/>
  <c r="F266" i="2"/>
  <c r="F267" i="2"/>
  <c r="F268" i="2"/>
  <c r="F269" i="2"/>
  <c r="F270" i="2"/>
  <c r="F271" i="2"/>
  <c r="F272" i="2"/>
  <c r="F273" i="2"/>
  <c r="F274" i="2"/>
  <c r="F275" i="2"/>
  <c r="F276" i="2"/>
  <c r="F277" i="2"/>
  <c r="F278" i="2"/>
  <c r="F279" i="2"/>
  <c r="F280" i="2"/>
  <c r="F281" i="2"/>
  <c r="F282" i="2"/>
  <c r="F283" i="2"/>
  <c r="F284" i="2"/>
  <c r="F285" i="2"/>
  <c r="F286" i="2"/>
  <c r="F287" i="2"/>
  <c r="F288" i="2"/>
  <c r="F289" i="2"/>
  <c r="F290" i="2"/>
  <c r="F291" i="2"/>
  <c r="F292" i="2"/>
  <c r="F293" i="2"/>
  <c r="F294" i="2"/>
  <c r="F295" i="2"/>
  <c r="F296" i="2"/>
  <c r="F297" i="2"/>
  <c r="F298" i="2"/>
  <c r="F299" i="2"/>
  <c r="F300" i="2"/>
  <c r="F301" i="2"/>
  <c r="F2" i="2"/>
  <c r="E3" i="2"/>
  <c r="L3" i="2" s="1"/>
  <c r="E4" i="2"/>
  <c r="L4" i="2" s="1"/>
  <c r="E5" i="2"/>
  <c r="L5" i="2" s="1"/>
  <c r="E6" i="2"/>
  <c r="L6" i="2" s="1"/>
  <c r="E7" i="2"/>
  <c r="L7" i="2" s="1"/>
  <c r="E8" i="2"/>
  <c r="L8" i="2" s="1"/>
  <c r="E9" i="2"/>
  <c r="L9" i="2" s="1"/>
  <c r="E10" i="2"/>
  <c r="L10" i="2" s="1"/>
  <c r="E11" i="2"/>
  <c r="L11" i="2" s="1"/>
  <c r="E12" i="2"/>
  <c r="L12" i="2" s="1"/>
  <c r="E13" i="2"/>
  <c r="L13" i="2" s="1"/>
  <c r="E14" i="2"/>
  <c r="L14" i="2" s="1"/>
  <c r="E15" i="2"/>
  <c r="L15" i="2" s="1"/>
  <c r="E16" i="2"/>
  <c r="L16" i="2" s="1"/>
  <c r="E17" i="2"/>
  <c r="L17" i="2" s="1"/>
  <c r="E18" i="2"/>
  <c r="L18" i="2" s="1"/>
  <c r="E19" i="2"/>
  <c r="L19" i="2" s="1"/>
  <c r="E20" i="2"/>
  <c r="L20" i="2" s="1"/>
  <c r="E21" i="2"/>
  <c r="L21" i="2" s="1"/>
  <c r="E22" i="2"/>
  <c r="L22" i="2" s="1"/>
  <c r="E23" i="2"/>
  <c r="L23" i="2" s="1"/>
  <c r="E24" i="2"/>
  <c r="L24" i="2" s="1"/>
  <c r="E25" i="2"/>
  <c r="L25" i="2" s="1"/>
  <c r="E26" i="2"/>
  <c r="L26" i="2" s="1"/>
  <c r="E27" i="2"/>
  <c r="L27" i="2" s="1"/>
  <c r="E28" i="2"/>
  <c r="L28" i="2" s="1"/>
  <c r="E29" i="2"/>
  <c r="L29" i="2" s="1"/>
  <c r="E30" i="2"/>
  <c r="L30" i="2" s="1"/>
  <c r="E31" i="2"/>
  <c r="L31" i="2" s="1"/>
  <c r="E32" i="2"/>
  <c r="L32" i="2" s="1"/>
  <c r="E33" i="2"/>
  <c r="L33" i="2" s="1"/>
  <c r="E34" i="2"/>
  <c r="L34" i="2" s="1"/>
  <c r="E35" i="2"/>
  <c r="L35" i="2" s="1"/>
  <c r="E36" i="2"/>
  <c r="L36" i="2" s="1"/>
  <c r="E37" i="2"/>
  <c r="L37" i="2" s="1"/>
  <c r="E38" i="2"/>
  <c r="L38" i="2" s="1"/>
  <c r="E39" i="2"/>
  <c r="L39" i="2" s="1"/>
  <c r="E40" i="2"/>
  <c r="L40" i="2" s="1"/>
  <c r="E41" i="2"/>
  <c r="L41" i="2" s="1"/>
  <c r="E42" i="2"/>
  <c r="L42" i="2" s="1"/>
  <c r="E43" i="2"/>
  <c r="L43" i="2" s="1"/>
  <c r="E44" i="2"/>
  <c r="L44" i="2" s="1"/>
  <c r="E45" i="2"/>
  <c r="L45" i="2" s="1"/>
  <c r="E46" i="2"/>
  <c r="L46" i="2" s="1"/>
  <c r="E47" i="2"/>
  <c r="L47" i="2" s="1"/>
  <c r="E48" i="2"/>
  <c r="L48" i="2" s="1"/>
  <c r="E49" i="2"/>
  <c r="L49" i="2" s="1"/>
  <c r="E50" i="2"/>
  <c r="L50" i="2" s="1"/>
  <c r="E51" i="2"/>
  <c r="L51" i="2" s="1"/>
  <c r="E52" i="2"/>
  <c r="L52" i="2" s="1"/>
  <c r="E53" i="2"/>
  <c r="L53" i="2" s="1"/>
  <c r="E54" i="2"/>
  <c r="L54" i="2" s="1"/>
  <c r="E55" i="2"/>
  <c r="L55" i="2" s="1"/>
  <c r="E56" i="2"/>
  <c r="L56" i="2" s="1"/>
  <c r="E57" i="2"/>
  <c r="L57" i="2" s="1"/>
  <c r="E58" i="2"/>
  <c r="L58" i="2" s="1"/>
  <c r="E59" i="2"/>
  <c r="L59" i="2" s="1"/>
  <c r="E60" i="2"/>
  <c r="L60" i="2" s="1"/>
  <c r="E61" i="2"/>
  <c r="L61" i="2" s="1"/>
  <c r="E62" i="2"/>
  <c r="L62" i="2" s="1"/>
  <c r="E63" i="2"/>
  <c r="L63" i="2" s="1"/>
  <c r="E64" i="2"/>
  <c r="L64" i="2" s="1"/>
  <c r="E65" i="2"/>
  <c r="L65" i="2" s="1"/>
  <c r="E66" i="2"/>
  <c r="L66" i="2" s="1"/>
  <c r="E67" i="2"/>
  <c r="L67" i="2" s="1"/>
  <c r="E68" i="2"/>
  <c r="L68" i="2" s="1"/>
  <c r="E69" i="2"/>
  <c r="L69" i="2" s="1"/>
  <c r="E70" i="2"/>
  <c r="L70" i="2" s="1"/>
  <c r="E71" i="2"/>
  <c r="L71" i="2" s="1"/>
  <c r="E72" i="2"/>
  <c r="L72" i="2" s="1"/>
  <c r="E73" i="2"/>
  <c r="L73" i="2" s="1"/>
  <c r="E74" i="2"/>
  <c r="L74" i="2" s="1"/>
  <c r="E75" i="2"/>
  <c r="L75" i="2" s="1"/>
  <c r="E76" i="2"/>
  <c r="L76" i="2" s="1"/>
  <c r="E77" i="2"/>
  <c r="L77" i="2" s="1"/>
  <c r="E78" i="2"/>
  <c r="L78" i="2" s="1"/>
  <c r="E79" i="2"/>
  <c r="L79" i="2" s="1"/>
  <c r="E80" i="2"/>
  <c r="L80" i="2" s="1"/>
  <c r="E81" i="2"/>
  <c r="L81" i="2" s="1"/>
  <c r="E82" i="2"/>
  <c r="L82" i="2" s="1"/>
  <c r="E83" i="2"/>
  <c r="L83" i="2" s="1"/>
  <c r="E84" i="2"/>
  <c r="L84" i="2" s="1"/>
  <c r="E85" i="2"/>
  <c r="L85" i="2" s="1"/>
  <c r="E86" i="2"/>
  <c r="L86" i="2" s="1"/>
  <c r="E87" i="2"/>
  <c r="L87" i="2" s="1"/>
  <c r="E88" i="2"/>
  <c r="L88" i="2" s="1"/>
  <c r="E89" i="2"/>
  <c r="L89" i="2" s="1"/>
  <c r="E90" i="2"/>
  <c r="L90" i="2" s="1"/>
  <c r="E91" i="2"/>
  <c r="L91" i="2" s="1"/>
  <c r="E92" i="2"/>
  <c r="L92" i="2" s="1"/>
  <c r="E93" i="2"/>
  <c r="L93" i="2" s="1"/>
  <c r="E94" i="2"/>
  <c r="L94" i="2" s="1"/>
  <c r="E95" i="2"/>
  <c r="L95" i="2" s="1"/>
  <c r="E96" i="2"/>
  <c r="L96" i="2" s="1"/>
  <c r="E97" i="2"/>
  <c r="L97" i="2" s="1"/>
  <c r="E98" i="2"/>
  <c r="L98" i="2" s="1"/>
  <c r="E99" i="2"/>
  <c r="L99" i="2" s="1"/>
  <c r="E100" i="2"/>
  <c r="L100" i="2" s="1"/>
  <c r="E101" i="2"/>
  <c r="L101" i="2" s="1"/>
  <c r="E102" i="2"/>
  <c r="L102" i="2" s="1"/>
  <c r="E103" i="2"/>
  <c r="L103" i="2" s="1"/>
  <c r="E104" i="2"/>
  <c r="L104" i="2" s="1"/>
  <c r="E105" i="2"/>
  <c r="L105" i="2" s="1"/>
  <c r="E106" i="2"/>
  <c r="L106" i="2" s="1"/>
  <c r="E107" i="2"/>
  <c r="L107" i="2" s="1"/>
  <c r="E108" i="2"/>
  <c r="L108" i="2" s="1"/>
  <c r="E109" i="2"/>
  <c r="L109" i="2" s="1"/>
  <c r="E110" i="2"/>
  <c r="L110" i="2" s="1"/>
  <c r="E111" i="2"/>
  <c r="L111" i="2" s="1"/>
  <c r="E112" i="2"/>
  <c r="L112" i="2" s="1"/>
  <c r="E113" i="2"/>
  <c r="L113" i="2" s="1"/>
  <c r="E114" i="2"/>
  <c r="L114" i="2" s="1"/>
  <c r="E115" i="2"/>
  <c r="L115" i="2" s="1"/>
  <c r="E116" i="2"/>
  <c r="L116" i="2" s="1"/>
  <c r="E117" i="2"/>
  <c r="L117" i="2" s="1"/>
  <c r="E118" i="2"/>
  <c r="L118" i="2" s="1"/>
  <c r="E119" i="2"/>
  <c r="L119" i="2" s="1"/>
  <c r="E120" i="2"/>
  <c r="L120" i="2" s="1"/>
  <c r="E121" i="2"/>
  <c r="L121" i="2" s="1"/>
  <c r="E122" i="2"/>
  <c r="L122" i="2" s="1"/>
  <c r="E123" i="2"/>
  <c r="L123" i="2" s="1"/>
  <c r="E124" i="2"/>
  <c r="L124" i="2" s="1"/>
  <c r="E125" i="2"/>
  <c r="L125" i="2" s="1"/>
  <c r="E126" i="2"/>
  <c r="L126" i="2" s="1"/>
  <c r="E127" i="2"/>
  <c r="L127" i="2" s="1"/>
  <c r="E128" i="2"/>
  <c r="L128" i="2" s="1"/>
  <c r="E129" i="2"/>
  <c r="L129" i="2" s="1"/>
  <c r="E130" i="2"/>
  <c r="L130" i="2" s="1"/>
  <c r="E131" i="2"/>
  <c r="L131" i="2" s="1"/>
  <c r="E132" i="2"/>
  <c r="L132" i="2" s="1"/>
  <c r="E133" i="2"/>
  <c r="L133" i="2" s="1"/>
  <c r="E134" i="2"/>
  <c r="L134" i="2" s="1"/>
  <c r="E135" i="2"/>
  <c r="L135" i="2" s="1"/>
  <c r="E136" i="2"/>
  <c r="L136" i="2" s="1"/>
  <c r="E137" i="2"/>
  <c r="L137" i="2" s="1"/>
  <c r="E138" i="2"/>
  <c r="L138" i="2" s="1"/>
  <c r="E139" i="2"/>
  <c r="L139" i="2" s="1"/>
  <c r="E140" i="2"/>
  <c r="L140" i="2" s="1"/>
  <c r="E141" i="2"/>
  <c r="L141" i="2" s="1"/>
  <c r="E142" i="2"/>
  <c r="L142" i="2" s="1"/>
  <c r="E143" i="2"/>
  <c r="L143" i="2" s="1"/>
  <c r="E144" i="2"/>
  <c r="L144" i="2" s="1"/>
  <c r="E145" i="2"/>
  <c r="L145" i="2" s="1"/>
  <c r="E146" i="2"/>
  <c r="L146" i="2" s="1"/>
  <c r="E147" i="2"/>
  <c r="L147" i="2" s="1"/>
  <c r="E148" i="2"/>
  <c r="L148" i="2" s="1"/>
  <c r="E149" i="2"/>
  <c r="L149" i="2" s="1"/>
  <c r="E150" i="2"/>
  <c r="L150" i="2" s="1"/>
  <c r="E151" i="2"/>
  <c r="L151" i="2" s="1"/>
  <c r="E152" i="2"/>
  <c r="L152" i="2" s="1"/>
  <c r="E153" i="2"/>
  <c r="L153" i="2" s="1"/>
  <c r="E154" i="2"/>
  <c r="L154" i="2" s="1"/>
  <c r="E155" i="2"/>
  <c r="L155" i="2" s="1"/>
  <c r="E156" i="2"/>
  <c r="L156" i="2" s="1"/>
  <c r="E157" i="2"/>
  <c r="L157" i="2" s="1"/>
  <c r="E158" i="2"/>
  <c r="L158" i="2" s="1"/>
  <c r="E159" i="2"/>
  <c r="L159" i="2" s="1"/>
  <c r="E160" i="2"/>
  <c r="L160" i="2" s="1"/>
  <c r="E161" i="2"/>
  <c r="L161" i="2" s="1"/>
  <c r="E162" i="2"/>
  <c r="L162" i="2" s="1"/>
  <c r="E163" i="2"/>
  <c r="L163" i="2" s="1"/>
  <c r="E164" i="2"/>
  <c r="L164" i="2" s="1"/>
  <c r="E165" i="2"/>
  <c r="L165" i="2" s="1"/>
  <c r="E166" i="2"/>
  <c r="L166" i="2" s="1"/>
  <c r="E167" i="2"/>
  <c r="L167" i="2" s="1"/>
  <c r="E168" i="2"/>
  <c r="L168" i="2" s="1"/>
  <c r="E169" i="2"/>
  <c r="L169" i="2" s="1"/>
  <c r="E170" i="2"/>
  <c r="L170" i="2" s="1"/>
  <c r="E171" i="2"/>
  <c r="L171" i="2" s="1"/>
  <c r="E172" i="2"/>
  <c r="L172" i="2" s="1"/>
  <c r="E173" i="2"/>
  <c r="L173" i="2" s="1"/>
  <c r="E174" i="2"/>
  <c r="L174" i="2" s="1"/>
  <c r="E175" i="2"/>
  <c r="L175" i="2" s="1"/>
  <c r="E176" i="2"/>
  <c r="L176" i="2" s="1"/>
  <c r="E177" i="2"/>
  <c r="L177" i="2" s="1"/>
  <c r="E178" i="2"/>
  <c r="L178" i="2" s="1"/>
  <c r="E179" i="2"/>
  <c r="L179" i="2" s="1"/>
  <c r="E180" i="2"/>
  <c r="L180" i="2" s="1"/>
  <c r="E181" i="2"/>
  <c r="L181" i="2" s="1"/>
  <c r="E182" i="2"/>
  <c r="L182" i="2" s="1"/>
  <c r="E183" i="2"/>
  <c r="L183" i="2" s="1"/>
  <c r="E184" i="2"/>
  <c r="L184" i="2" s="1"/>
  <c r="E185" i="2"/>
  <c r="L185" i="2" s="1"/>
  <c r="E186" i="2"/>
  <c r="L186" i="2" s="1"/>
  <c r="E187" i="2"/>
  <c r="L187" i="2" s="1"/>
  <c r="E188" i="2"/>
  <c r="L188" i="2" s="1"/>
  <c r="E189" i="2"/>
  <c r="L189" i="2" s="1"/>
  <c r="E190" i="2"/>
  <c r="L190" i="2" s="1"/>
  <c r="E191" i="2"/>
  <c r="L191" i="2" s="1"/>
  <c r="E192" i="2"/>
  <c r="L192" i="2" s="1"/>
  <c r="E193" i="2"/>
  <c r="L193" i="2" s="1"/>
  <c r="E194" i="2"/>
  <c r="L194" i="2" s="1"/>
  <c r="E195" i="2"/>
  <c r="L195" i="2" s="1"/>
  <c r="E196" i="2"/>
  <c r="L196" i="2" s="1"/>
  <c r="E197" i="2"/>
  <c r="L197" i="2" s="1"/>
  <c r="E198" i="2"/>
  <c r="L198" i="2" s="1"/>
  <c r="E199" i="2"/>
  <c r="L199" i="2" s="1"/>
  <c r="E200" i="2"/>
  <c r="L200" i="2" s="1"/>
  <c r="E201" i="2"/>
  <c r="L201" i="2" s="1"/>
  <c r="E202" i="2"/>
  <c r="L202" i="2" s="1"/>
  <c r="E203" i="2"/>
  <c r="L203" i="2" s="1"/>
  <c r="E204" i="2"/>
  <c r="L204" i="2" s="1"/>
  <c r="E205" i="2"/>
  <c r="L205" i="2" s="1"/>
  <c r="E206" i="2"/>
  <c r="L206" i="2" s="1"/>
  <c r="E207" i="2"/>
  <c r="L207" i="2" s="1"/>
  <c r="E208" i="2"/>
  <c r="L208" i="2" s="1"/>
  <c r="E209" i="2"/>
  <c r="L209" i="2" s="1"/>
  <c r="E210" i="2"/>
  <c r="L210" i="2" s="1"/>
  <c r="E211" i="2"/>
  <c r="L211" i="2" s="1"/>
  <c r="E212" i="2"/>
  <c r="L212" i="2" s="1"/>
  <c r="E213" i="2"/>
  <c r="L213" i="2" s="1"/>
  <c r="E214" i="2"/>
  <c r="L214" i="2" s="1"/>
  <c r="E215" i="2"/>
  <c r="L215" i="2" s="1"/>
  <c r="E216" i="2"/>
  <c r="L216" i="2" s="1"/>
  <c r="E217" i="2"/>
  <c r="L217" i="2" s="1"/>
  <c r="E218" i="2"/>
  <c r="L218" i="2" s="1"/>
  <c r="E219" i="2"/>
  <c r="L219" i="2" s="1"/>
  <c r="E220" i="2"/>
  <c r="L220" i="2" s="1"/>
  <c r="E221" i="2"/>
  <c r="L221" i="2" s="1"/>
  <c r="E222" i="2"/>
  <c r="L222" i="2" s="1"/>
  <c r="E223" i="2"/>
  <c r="L223" i="2" s="1"/>
  <c r="E224" i="2"/>
  <c r="L224" i="2" s="1"/>
  <c r="E225" i="2"/>
  <c r="L225" i="2" s="1"/>
  <c r="E226" i="2"/>
  <c r="L226" i="2" s="1"/>
  <c r="E227" i="2"/>
  <c r="L227" i="2" s="1"/>
  <c r="E228" i="2"/>
  <c r="L228" i="2" s="1"/>
  <c r="E229" i="2"/>
  <c r="L229" i="2" s="1"/>
  <c r="E230" i="2"/>
  <c r="L230" i="2" s="1"/>
  <c r="E231" i="2"/>
  <c r="L231" i="2" s="1"/>
  <c r="E232" i="2"/>
  <c r="L232" i="2" s="1"/>
  <c r="E233" i="2"/>
  <c r="L233" i="2" s="1"/>
  <c r="E234" i="2"/>
  <c r="L234" i="2" s="1"/>
  <c r="E235" i="2"/>
  <c r="L235" i="2" s="1"/>
  <c r="E236" i="2"/>
  <c r="L236" i="2" s="1"/>
  <c r="E237" i="2"/>
  <c r="L237" i="2" s="1"/>
  <c r="E238" i="2"/>
  <c r="L238" i="2" s="1"/>
  <c r="E239" i="2"/>
  <c r="L239" i="2" s="1"/>
  <c r="E240" i="2"/>
  <c r="L240" i="2" s="1"/>
  <c r="E241" i="2"/>
  <c r="L241" i="2" s="1"/>
  <c r="E242" i="2"/>
  <c r="L242" i="2" s="1"/>
  <c r="E243" i="2"/>
  <c r="L243" i="2" s="1"/>
  <c r="E244" i="2"/>
  <c r="L244" i="2" s="1"/>
  <c r="E245" i="2"/>
  <c r="L245" i="2" s="1"/>
  <c r="E246" i="2"/>
  <c r="L246" i="2" s="1"/>
  <c r="E247" i="2"/>
  <c r="L247" i="2" s="1"/>
  <c r="E248" i="2"/>
  <c r="L248" i="2" s="1"/>
  <c r="E249" i="2"/>
  <c r="L249" i="2" s="1"/>
  <c r="E250" i="2"/>
  <c r="L250" i="2" s="1"/>
  <c r="E251" i="2"/>
  <c r="L251" i="2" s="1"/>
  <c r="E252" i="2"/>
  <c r="L252" i="2" s="1"/>
  <c r="E253" i="2"/>
  <c r="L253" i="2" s="1"/>
  <c r="E254" i="2"/>
  <c r="L254" i="2" s="1"/>
  <c r="E255" i="2"/>
  <c r="L255" i="2" s="1"/>
  <c r="E256" i="2"/>
  <c r="L256" i="2" s="1"/>
  <c r="E257" i="2"/>
  <c r="L257" i="2" s="1"/>
  <c r="E258" i="2"/>
  <c r="L258" i="2" s="1"/>
  <c r="E259" i="2"/>
  <c r="L259" i="2" s="1"/>
  <c r="E260" i="2"/>
  <c r="L260" i="2" s="1"/>
  <c r="E261" i="2"/>
  <c r="L261" i="2" s="1"/>
  <c r="E262" i="2"/>
  <c r="L262" i="2" s="1"/>
  <c r="E263" i="2"/>
  <c r="L263" i="2" s="1"/>
  <c r="E264" i="2"/>
  <c r="L264" i="2" s="1"/>
  <c r="E265" i="2"/>
  <c r="L265" i="2" s="1"/>
  <c r="E266" i="2"/>
  <c r="L266" i="2" s="1"/>
  <c r="E267" i="2"/>
  <c r="L267" i="2" s="1"/>
  <c r="E268" i="2"/>
  <c r="L268" i="2" s="1"/>
  <c r="E269" i="2"/>
  <c r="L269" i="2" s="1"/>
  <c r="E270" i="2"/>
  <c r="L270" i="2" s="1"/>
  <c r="E271" i="2"/>
  <c r="L271" i="2" s="1"/>
  <c r="E272" i="2"/>
  <c r="L272" i="2" s="1"/>
  <c r="E273" i="2"/>
  <c r="L273" i="2" s="1"/>
  <c r="E274" i="2"/>
  <c r="L274" i="2" s="1"/>
  <c r="E275" i="2"/>
  <c r="L275" i="2" s="1"/>
  <c r="E276" i="2"/>
  <c r="L276" i="2" s="1"/>
  <c r="E277" i="2"/>
  <c r="L277" i="2" s="1"/>
  <c r="E278" i="2"/>
  <c r="L278" i="2" s="1"/>
  <c r="E279" i="2"/>
  <c r="L279" i="2" s="1"/>
  <c r="E280" i="2"/>
  <c r="L280" i="2" s="1"/>
  <c r="E281" i="2"/>
  <c r="L281" i="2" s="1"/>
  <c r="E282" i="2"/>
  <c r="L282" i="2" s="1"/>
  <c r="E283" i="2"/>
  <c r="L283" i="2" s="1"/>
  <c r="E284" i="2"/>
  <c r="L284" i="2" s="1"/>
  <c r="E285" i="2"/>
  <c r="L285" i="2" s="1"/>
  <c r="E286" i="2"/>
  <c r="L286" i="2" s="1"/>
  <c r="E287" i="2"/>
  <c r="L287" i="2" s="1"/>
  <c r="E288" i="2"/>
  <c r="L288" i="2" s="1"/>
  <c r="E289" i="2"/>
  <c r="L289" i="2" s="1"/>
  <c r="E290" i="2"/>
  <c r="L290" i="2" s="1"/>
  <c r="E291" i="2"/>
  <c r="L291" i="2" s="1"/>
  <c r="E292" i="2"/>
  <c r="L292" i="2" s="1"/>
  <c r="E293" i="2"/>
  <c r="L293" i="2" s="1"/>
  <c r="E294" i="2"/>
  <c r="L294" i="2" s="1"/>
  <c r="E295" i="2"/>
  <c r="L295" i="2" s="1"/>
  <c r="E296" i="2"/>
  <c r="L296" i="2" s="1"/>
  <c r="E297" i="2"/>
  <c r="L297" i="2" s="1"/>
  <c r="E298" i="2"/>
  <c r="L298" i="2" s="1"/>
  <c r="E299" i="2"/>
  <c r="L299" i="2" s="1"/>
  <c r="E300" i="2"/>
  <c r="L300" i="2" s="1"/>
  <c r="E301" i="2"/>
  <c r="L301" i="2" s="1"/>
  <c r="E2" i="2"/>
  <c r="L2" i="2" s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2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" i="2"/>
  <c r="C2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B250" i="2"/>
  <c r="B251" i="2"/>
  <c r="B252" i="2"/>
  <c r="B253" i="2"/>
  <c r="B254" i="2"/>
  <c r="B255" i="2"/>
  <c r="B256" i="2"/>
  <c r="B257" i="2"/>
  <c r="B258" i="2"/>
  <c r="B259" i="2"/>
  <c r="B260" i="2"/>
  <c r="B261" i="2"/>
  <c r="B262" i="2"/>
  <c r="B263" i="2"/>
  <c r="B264" i="2"/>
  <c r="B265" i="2"/>
  <c r="B266" i="2"/>
  <c r="B267" i="2"/>
  <c r="B268" i="2"/>
  <c r="B269" i="2"/>
  <c r="B270" i="2"/>
  <c r="B271" i="2"/>
  <c r="B272" i="2"/>
  <c r="B273" i="2"/>
  <c r="B274" i="2"/>
  <c r="B275" i="2"/>
  <c r="B276" i="2"/>
  <c r="B277" i="2"/>
  <c r="B278" i="2"/>
  <c r="B279" i="2"/>
  <c r="B280" i="2"/>
  <c r="B281" i="2"/>
  <c r="B282" i="2"/>
  <c r="B283" i="2"/>
  <c r="B284" i="2"/>
  <c r="B285" i="2"/>
  <c r="B286" i="2"/>
  <c r="B287" i="2"/>
  <c r="B288" i="2"/>
  <c r="B289" i="2"/>
  <c r="B290" i="2"/>
  <c r="B291" i="2"/>
  <c r="B292" i="2"/>
  <c r="B293" i="2"/>
  <c r="B294" i="2"/>
  <c r="B295" i="2"/>
  <c r="B296" i="2"/>
  <c r="B297" i="2"/>
  <c r="B298" i="2"/>
  <c r="B299" i="2"/>
  <c r="B300" i="2"/>
  <c r="B301" i="2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A258" i="2"/>
  <c r="A259" i="2"/>
  <c r="A260" i="2"/>
  <c r="A261" i="2"/>
  <c r="A262" i="2"/>
  <c r="A263" i="2"/>
  <c r="A264" i="2"/>
  <c r="A265" i="2"/>
  <c r="A266" i="2"/>
  <c r="A267" i="2"/>
  <c r="A268" i="2"/>
  <c r="A269" i="2"/>
  <c r="A270" i="2"/>
  <c r="A271" i="2"/>
  <c r="A272" i="2"/>
  <c r="A273" i="2"/>
  <c r="A274" i="2"/>
  <c r="A275" i="2"/>
  <c r="A276" i="2"/>
  <c r="A277" i="2"/>
  <c r="A278" i="2"/>
  <c r="A279" i="2"/>
  <c r="A280" i="2"/>
  <c r="A281" i="2"/>
  <c r="A282" i="2"/>
  <c r="A283" i="2"/>
  <c r="A284" i="2"/>
  <c r="A285" i="2"/>
  <c r="A286" i="2"/>
  <c r="A287" i="2"/>
  <c r="A288" i="2"/>
  <c r="A289" i="2"/>
  <c r="A290" i="2"/>
  <c r="A291" i="2"/>
  <c r="A292" i="2"/>
  <c r="A293" i="2"/>
  <c r="A294" i="2"/>
  <c r="A295" i="2"/>
  <c r="A296" i="2"/>
  <c r="A297" i="2"/>
  <c r="A298" i="2"/>
  <c r="A299" i="2"/>
  <c r="A300" i="2"/>
  <c r="A301" i="2"/>
  <c r="B2" i="2"/>
  <c r="A2" i="2"/>
  <c r="G10" i="3" l="1"/>
  <c r="K4" i="4" s="1"/>
  <c r="G9" i="3"/>
  <c r="G8" i="3"/>
  <c r="G7" i="3"/>
  <c r="G6" i="3"/>
  <c r="G5" i="3"/>
  <c r="G4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<sst xmlns="http://schemas.openxmlformats.org/spreadsheetml/2006/main" count="1430" uniqueCount="1031">
  <si>
    <t xml:space="preserve"> </t>
  </si>
  <si>
    <t>PerformanceRating</t>
  </si>
  <si>
    <t>MonthlySalary</t>
  </si>
  <si>
    <t>ExitDate</t>
  </si>
  <si>
    <t>JoiningDate</t>
  </si>
  <si>
    <t>Age</t>
  </si>
  <si>
    <t>Department</t>
  </si>
  <si>
    <t>EmployeeName</t>
  </si>
  <si>
    <t>EmpID</t>
  </si>
  <si>
    <t>2026-05-12</t>
  </si>
  <si>
    <t>2025-05-06</t>
  </si>
  <si>
    <t>HR</t>
  </si>
  <si>
    <t>Amit Nair</t>
  </si>
  <si>
    <t>EMP0300</t>
  </si>
  <si>
    <t>2022-07-20</t>
  </si>
  <si>
    <t>Finance</t>
  </si>
  <si>
    <t>Karan Sharma</t>
  </si>
  <si>
    <t>EMP0299</t>
  </si>
  <si>
    <t>2019-07-05</t>
  </si>
  <si>
    <t>Marketing</t>
  </si>
  <si>
    <t>Priya Mehta</t>
  </si>
  <si>
    <t>EMP0298</t>
  </si>
  <si>
    <t>2025-06-15</t>
  </si>
  <si>
    <t>2019-06-17</t>
  </si>
  <si>
    <t>IT</t>
  </si>
  <si>
    <t>Nikhil Malhotra</t>
  </si>
  <si>
    <t>EMP0297</t>
  </si>
  <si>
    <t>2020-06-12</t>
  </si>
  <si>
    <t>Kabir Chopra</t>
  </si>
  <si>
    <t>EMP0296</t>
  </si>
  <si>
    <t>2019-05-26</t>
  </si>
  <si>
    <t>Ira Chopra</t>
  </si>
  <si>
    <t>EMP0295</t>
  </si>
  <si>
    <t>2025-08-08</t>
  </si>
  <si>
    <t>2016-10-25</t>
  </si>
  <si>
    <t>Nikhil Agarwal</t>
  </si>
  <si>
    <t>EMP0294</t>
  </si>
  <si>
    <t>2017-01-13</t>
  </si>
  <si>
    <t>Amit Gupta</t>
  </si>
  <si>
    <t>EMP0293</t>
  </si>
  <si>
    <t>2022-04-01</t>
  </si>
  <si>
    <t>Vihaan Pillai</t>
  </si>
  <si>
    <t>EMP0292</t>
  </si>
  <si>
    <t>2019-05-16</t>
  </si>
  <si>
    <t>Sunita Chopra</t>
  </si>
  <si>
    <t>EMP0291</t>
  </si>
  <si>
    <t>2023-10-23</t>
  </si>
  <si>
    <t>Sanjay Desai</t>
  </si>
  <si>
    <t>EMP0290</t>
  </si>
  <si>
    <t>2023-01-08</t>
  </si>
  <si>
    <t>Anika Verma</t>
  </si>
  <si>
    <t>EMP0289</t>
  </si>
  <si>
    <t>2017-08-09</t>
  </si>
  <si>
    <t>Swati Mehta</t>
  </si>
  <si>
    <t>EMP0288</t>
  </si>
  <si>
    <t>2018-08-17</t>
  </si>
  <si>
    <t>Vihaan Singh</t>
  </si>
  <si>
    <t>EMP0287</t>
  </si>
  <si>
    <t>2020-07-05</t>
  </si>
  <si>
    <t>Operations</t>
  </si>
  <si>
    <t>Vihaan Nair</t>
  </si>
  <si>
    <t>EMP0286</t>
  </si>
  <si>
    <t>2025-03-20</t>
  </si>
  <si>
    <t>2018-04-24</t>
  </si>
  <si>
    <t>Sales</t>
  </si>
  <si>
    <t>Suresh Agarwal</t>
  </si>
  <si>
    <t>EMP0285</t>
  </si>
  <si>
    <t>2026-02-11</t>
  </si>
  <si>
    <t>2017-09-27</t>
  </si>
  <si>
    <t>Myra Nair</t>
  </si>
  <si>
    <t>EMP0284</t>
  </si>
  <si>
    <t>2021-03-11</t>
  </si>
  <si>
    <t>Myra Sharma</t>
  </si>
  <si>
    <t>EMP0283</t>
  </si>
  <si>
    <t>2023-08-07</t>
  </si>
  <si>
    <t>2017-04-30</t>
  </si>
  <si>
    <t>Sunita Singh</t>
  </si>
  <si>
    <t>EMP0282</t>
  </si>
  <si>
    <t>2020-03-26</t>
  </si>
  <si>
    <t>Suresh Joshi</t>
  </si>
  <si>
    <t>EMP0281</t>
  </si>
  <si>
    <t>2019-03-21</t>
  </si>
  <si>
    <t>Vihaan Gupta</t>
  </si>
  <si>
    <t>EMP0280</t>
  </si>
  <si>
    <t>2025-02-07</t>
  </si>
  <si>
    <t>2022-06-26</t>
  </si>
  <si>
    <t>Kiara Sharma</t>
  </si>
  <si>
    <t>EMP0279</t>
  </si>
  <si>
    <t>2021-03-08</t>
  </si>
  <si>
    <t>Rajesh Menon</t>
  </si>
  <si>
    <t>EMP0278</t>
  </si>
  <si>
    <t>2020-12-29</t>
  </si>
  <si>
    <t>Shreya Chopra</t>
  </si>
  <si>
    <t>EMP0277</t>
  </si>
  <si>
    <t>2023-10-05</t>
  </si>
  <si>
    <t>2017-09-05</t>
  </si>
  <si>
    <t>Pooja Reddy</t>
  </si>
  <si>
    <t>EMP0276</t>
  </si>
  <si>
    <t>2016-11-15</t>
  </si>
  <si>
    <t>Deepak Bhat</t>
  </si>
  <si>
    <t>EMP0275</t>
  </si>
  <si>
    <t>2026-06-17</t>
  </si>
  <si>
    <t>2024-07-17</t>
  </si>
  <si>
    <t>Meera Chopra</t>
  </si>
  <si>
    <t>EMP0274</t>
  </si>
  <si>
    <t>2017-09-19</t>
  </si>
  <si>
    <t>EMP0273</t>
  </si>
  <si>
    <t>2026-07-22</t>
  </si>
  <si>
    <t>2023-09-28</t>
  </si>
  <si>
    <t>Manoj Bhat</t>
  </si>
  <si>
    <t>EMP0272</t>
  </si>
  <si>
    <t>2025-11-19</t>
  </si>
  <si>
    <t>2023-10-08</t>
  </si>
  <si>
    <t>Divya Sharma</t>
  </si>
  <si>
    <t>EMP0271</t>
  </si>
  <si>
    <t>2023-07-17</t>
  </si>
  <si>
    <t>2020-04-20</t>
  </si>
  <si>
    <t>Rahul Nair</t>
  </si>
  <si>
    <t>EMP0270</t>
  </si>
  <si>
    <t>2020-06-29</t>
  </si>
  <si>
    <t>Anil Bhat</t>
  </si>
  <si>
    <t>EMP0269</t>
  </si>
  <si>
    <t>2017-12-19</t>
  </si>
  <si>
    <t>Riya Menon</t>
  </si>
  <si>
    <t>EMP0268</t>
  </si>
  <si>
    <t>2024-07-23</t>
  </si>
  <si>
    <t>2023-04-09</t>
  </si>
  <si>
    <t>Kabir Mehta</t>
  </si>
  <si>
    <t>EMP0267</t>
  </si>
  <si>
    <t>2017-07-03</t>
  </si>
  <si>
    <t>Rajesh Pillai</t>
  </si>
  <si>
    <t>EMP0266</t>
  </si>
  <si>
    <t>2022-05-15</t>
  </si>
  <si>
    <t>Riya Verma</t>
  </si>
  <si>
    <t>EMP0265</t>
  </si>
  <si>
    <t>2025-05-18</t>
  </si>
  <si>
    <t>Diya Kapoor</t>
  </si>
  <si>
    <t>EMP0264</t>
  </si>
  <si>
    <t>2018-08-09</t>
  </si>
  <si>
    <t>EMP0263</t>
  </si>
  <si>
    <t>2021-05-09</t>
  </si>
  <si>
    <t>Ananya Kapoor</t>
  </si>
  <si>
    <t>EMP0262</t>
  </si>
  <si>
    <t>2017-02-15</t>
  </si>
  <si>
    <t>Ishaan Kapoor</t>
  </si>
  <si>
    <t>EMP0261</t>
  </si>
  <si>
    <t>2024-12-02</t>
  </si>
  <si>
    <t>2018-09-20</t>
  </si>
  <si>
    <t>Rohan Kumar</t>
  </si>
  <si>
    <t>EMP0260</t>
  </si>
  <si>
    <t>2025-04-14</t>
  </si>
  <si>
    <t>Kiara Chopra</t>
  </si>
  <si>
    <t>EMP0259</t>
  </si>
  <si>
    <t>2019-03-24</t>
  </si>
  <si>
    <t>Sanjay Singh</t>
  </si>
  <si>
    <t>EMP0258</t>
  </si>
  <si>
    <t>2023-08-03</t>
  </si>
  <si>
    <t>Anika Rao</t>
  </si>
  <si>
    <t>EMP0257</t>
  </si>
  <si>
    <t>Isha Rao</t>
  </si>
  <si>
    <t>EMP0256</t>
  </si>
  <si>
    <t>2022-05-10</t>
  </si>
  <si>
    <t>2018-10-06</t>
  </si>
  <si>
    <t>Kiara Agarwal</t>
  </si>
  <si>
    <t>EMP0255</t>
  </si>
  <si>
    <t>2021-12-23</t>
  </si>
  <si>
    <t>Nikhil Mehta</t>
  </si>
  <si>
    <t>EMP0254</t>
  </si>
  <si>
    <t>2023-11-19</t>
  </si>
  <si>
    <t>2021-10-25</t>
  </si>
  <si>
    <t>Priya Verma</t>
  </si>
  <si>
    <t>EMP0253</t>
  </si>
  <si>
    <t>2020-08-18</t>
  </si>
  <si>
    <t>Deepak Mehta</t>
  </si>
  <si>
    <t>EMP0252</t>
  </si>
  <si>
    <t>2016-05-09</t>
  </si>
  <si>
    <t>Anjali Desai</t>
  </si>
  <si>
    <t>EMP0251</t>
  </si>
  <si>
    <t>2018-07-21</t>
  </si>
  <si>
    <t>Swati Chopra</t>
  </si>
  <si>
    <t>EMP0250</t>
  </si>
  <si>
    <t>2024-12-07</t>
  </si>
  <si>
    <t>Kabir Kapoor</t>
  </si>
  <si>
    <t>EMP0249</t>
  </si>
  <si>
    <t>2019-05-12</t>
  </si>
  <si>
    <t>Pooja Pillai</t>
  </si>
  <si>
    <t>EMP0248</t>
  </si>
  <si>
    <t>2022-11-30</t>
  </si>
  <si>
    <t>Anjali Mehta</t>
  </si>
  <si>
    <t>EMP0247</t>
  </si>
  <si>
    <t>2017-09-02</t>
  </si>
  <si>
    <t>Amit Chopra</t>
  </si>
  <si>
    <t>EMP0246</t>
  </si>
  <si>
    <t>2020-07-02</t>
  </si>
  <si>
    <t>Karan Reddy</t>
  </si>
  <si>
    <t>EMP0245</t>
  </si>
  <si>
    <t>2024-11-29</t>
  </si>
  <si>
    <t>EMP0244</t>
  </si>
  <si>
    <t>2019-02-19</t>
  </si>
  <si>
    <t>Nikhil Bhat</t>
  </si>
  <si>
    <t>EMP0243</t>
  </si>
  <si>
    <t>2022-12-02</t>
  </si>
  <si>
    <t>2020-06-28</t>
  </si>
  <si>
    <t>Vikram Desai</t>
  </si>
  <si>
    <t>EMP0242</t>
  </si>
  <si>
    <t>2016-02-03</t>
  </si>
  <si>
    <t>EMP0241</t>
  </si>
  <si>
    <t>2018-05-31</t>
  </si>
  <si>
    <t>EMP0240</t>
  </si>
  <si>
    <t>2021-08-04</t>
  </si>
  <si>
    <t>Ananya Chopra</t>
  </si>
  <si>
    <t>EMP0239</t>
  </si>
  <si>
    <t>2025-02-14</t>
  </si>
  <si>
    <t>Anjali Kapoor</t>
  </si>
  <si>
    <t>EMP0238</t>
  </si>
  <si>
    <t>2021-10-30</t>
  </si>
  <si>
    <t>2021-01-15</t>
  </si>
  <si>
    <t>Sara Malhotra</t>
  </si>
  <si>
    <t>EMP0237</t>
  </si>
  <si>
    <t>2024-11-14</t>
  </si>
  <si>
    <t>2020-06-21</t>
  </si>
  <si>
    <t>Rahul Mehta</t>
  </si>
  <si>
    <t>EMP0236</t>
  </si>
  <si>
    <t>2020-08-29</t>
  </si>
  <si>
    <t>Arjun Verma</t>
  </si>
  <si>
    <t>EMP0235</t>
  </si>
  <si>
    <t>2026-03-10</t>
  </si>
  <si>
    <t>2021-06-01</t>
  </si>
  <si>
    <t>Sunita Rao</t>
  </si>
  <si>
    <t>EMP0234</t>
  </si>
  <si>
    <t>2024-08-07</t>
  </si>
  <si>
    <t>Divya Iyer</t>
  </si>
  <si>
    <t>EMP0233</t>
  </si>
  <si>
    <t>2022-09-22</t>
  </si>
  <si>
    <t>2022-04-27</t>
  </si>
  <si>
    <t>Ananya Agarwal</t>
  </si>
  <si>
    <t>EMP0232</t>
  </si>
  <si>
    <t>2021-08-20</t>
  </si>
  <si>
    <t>Isha Agarwal</t>
  </si>
  <si>
    <t>EMP0231</t>
  </si>
  <si>
    <t>2018-03-15</t>
  </si>
  <si>
    <t>Kavita Rao</t>
  </si>
  <si>
    <t>EMP0230</t>
  </si>
  <si>
    <t>2023-04-10</t>
  </si>
  <si>
    <t>2019-05-30</t>
  </si>
  <si>
    <t>Vihaan Kumar</t>
  </si>
  <si>
    <t>EMP0229</t>
  </si>
  <si>
    <t>2024-08-10</t>
  </si>
  <si>
    <t>EMP0228</t>
  </si>
  <si>
    <t>2019-07-22</t>
  </si>
  <si>
    <t>Suresh Menon</t>
  </si>
  <si>
    <t>EMP0227</t>
  </si>
  <si>
    <t>2020-06-18</t>
  </si>
  <si>
    <t>Anjali Gupta</t>
  </si>
  <si>
    <t>EMP0226</t>
  </si>
  <si>
    <t>2022-06-02</t>
  </si>
  <si>
    <t>Neha Sharma</t>
  </si>
  <si>
    <t>EMP0225</t>
  </si>
  <si>
    <t>2017-05-12</t>
  </si>
  <si>
    <t>Diya Joshi</t>
  </si>
  <si>
    <t>EMP0224</t>
  </si>
  <si>
    <t>2019-04-04</t>
  </si>
  <si>
    <t>Sanjay Gupta</t>
  </si>
  <si>
    <t>EMP0223</t>
  </si>
  <si>
    <t>2016-12-25</t>
  </si>
  <si>
    <t>Arjun Malhotra</t>
  </si>
  <si>
    <t>EMP0222</t>
  </si>
  <si>
    <t>2023-10-13</t>
  </si>
  <si>
    <t>Kiara Malhotra</t>
  </si>
  <si>
    <t>EMP0221</t>
  </si>
  <si>
    <t>2021-08-06</t>
  </si>
  <si>
    <t>Kabir Sharma</t>
  </si>
  <si>
    <t>EMP0220</t>
  </si>
  <si>
    <t>2020-02-12</t>
  </si>
  <si>
    <t>Arjun Menon</t>
  </si>
  <si>
    <t>EMP0219</t>
  </si>
  <si>
    <t>2023-08-13</t>
  </si>
  <si>
    <t>Nikhil Menon</t>
  </si>
  <si>
    <t>EMP0218</t>
  </si>
  <si>
    <t>2019-04-13</t>
  </si>
  <si>
    <t>2016-05-22</t>
  </si>
  <si>
    <t>Vivaan Singh</t>
  </si>
  <si>
    <t>EMP0217</t>
  </si>
  <si>
    <t>2020-01-28</t>
  </si>
  <si>
    <t>EMP0216</t>
  </si>
  <si>
    <t>2024-02-25</t>
  </si>
  <si>
    <t>Deepak Joshi</t>
  </si>
  <si>
    <t>EMP0215</t>
  </si>
  <si>
    <t>2019-06-09</t>
  </si>
  <si>
    <t>Ishaan Gupta</t>
  </si>
  <si>
    <t>EMP0214</t>
  </si>
  <si>
    <t>2022-10-03</t>
  </si>
  <si>
    <t>Reyansh Kapoor</t>
  </si>
  <si>
    <t>EMP0213</t>
  </si>
  <si>
    <t>EMP0212</t>
  </si>
  <si>
    <t>2024-12-18</t>
  </si>
  <si>
    <t>Vihaan Mehta</t>
  </si>
  <si>
    <t>EMP0211</t>
  </si>
  <si>
    <t>2024-06-12</t>
  </si>
  <si>
    <t>EMP0210</t>
  </si>
  <si>
    <t>2016-06-20</t>
  </si>
  <si>
    <t>Riya Reddy</t>
  </si>
  <si>
    <t>EMP0209</t>
  </si>
  <si>
    <t>2026-05-07</t>
  </si>
  <si>
    <t>2025-02-05</t>
  </si>
  <si>
    <t>Rajesh Chopra</t>
  </si>
  <si>
    <t>EMP0208</t>
  </si>
  <si>
    <t>2023-11-12</t>
  </si>
  <si>
    <t>2017-06-30</t>
  </si>
  <si>
    <t>Ishaan Menon</t>
  </si>
  <si>
    <t>EMP0207</t>
  </si>
  <si>
    <t>2020-01-02</t>
  </si>
  <si>
    <t>Vikram Iyer</t>
  </si>
  <si>
    <t>EMP0206</t>
  </si>
  <si>
    <t>2020-05-18</t>
  </si>
  <si>
    <t>Pooja Bhat</t>
  </si>
  <si>
    <t>EMP0205</t>
  </si>
  <si>
    <t>2021-11-14</t>
  </si>
  <si>
    <t>Suresh Patel</t>
  </si>
  <si>
    <t>EMP0204</t>
  </si>
  <si>
    <t>2019-04-08</t>
  </si>
  <si>
    <t>Pooja Menon</t>
  </si>
  <si>
    <t>EMP0203</t>
  </si>
  <si>
    <t>2017-03-30</t>
  </si>
  <si>
    <t>EMP0202</t>
  </si>
  <si>
    <t>2024-09-14</t>
  </si>
  <si>
    <t>Swati Bhat</t>
  </si>
  <si>
    <t>EMP0201</t>
  </si>
  <si>
    <t>2019-07-21</t>
  </si>
  <si>
    <t>2016-11-20</t>
  </si>
  <si>
    <t>Priya Malhotra</t>
  </si>
  <si>
    <t>EMP0200</t>
  </si>
  <si>
    <t>2025-04-21</t>
  </si>
  <si>
    <t>Karan Singh</t>
  </si>
  <si>
    <t>EMP0199</t>
  </si>
  <si>
    <t>2019-07-29</t>
  </si>
  <si>
    <t>Reyansh Joshi</t>
  </si>
  <si>
    <t>EMP0198</t>
  </si>
  <si>
    <t>2016-08-06</t>
  </si>
  <si>
    <t>EMP0197</t>
  </si>
  <si>
    <t>2017-08-26</t>
  </si>
  <si>
    <t>Ananya Iyer</t>
  </si>
  <si>
    <t>EMP0196</t>
  </si>
  <si>
    <t>2023-12-23</t>
  </si>
  <si>
    <t>Priya Joshi</t>
  </si>
  <si>
    <t>EMP0195</t>
  </si>
  <si>
    <t>2024-12-25</t>
  </si>
  <si>
    <t>Kavita Kapoor</t>
  </si>
  <si>
    <t>EMP0194</t>
  </si>
  <si>
    <t>2020-12-09</t>
  </si>
  <si>
    <t>Aadhya Joshi</t>
  </si>
  <si>
    <t>EMP0193</t>
  </si>
  <si>
    <t>2018-09-06</t>
  </si>
  <si>
    <t>Riya Malhotra</t>
  </si>
  <si>
    <t>EMP0192</t>
  </si>
  <si>
    <t>2020-02-01</t>
  </si>
  <si>
    <t>Ananya Malhotra</t>
  </si>
  <si>
    <t>EMP0191</t>
  </si>
  <si>
    <t>2018-01-10</t>
  </si>
  <si>
    <t>Swati Desai</t>
  </si>
  <si>
    <t>EMP0190</t>
  </si>
  <si>
    <t>2016-06-03</t>
  </si>
  <si>
    <t>Ishaan Bhat</t>
  </si>
  <si>
    <t>EMP0189</t>
  </si>
  <si>
    <t>2018-07-16</t>
  </si>
  <si>
    <t>Ira Mehta</t>
  </si>
  <si>
    <t>EMP0188</t>
  </si>
  <si>
    <t>2021-09-13</t>
  </si>
  <si>
    <t>Rohan Bhat</t>
  </si>
  <si>
    <t>EMP0187</t>
  </si>
  <si>
    <t>2019-06-22</t>
  </si>
  <si>
    <t>Manoj Singh</t>
  </si>
  <si>
    <t>EMP0186</t>
  </si>
  <si>
    <t>2016-11-29</t>
  </si>
  <si>
    <t>EMP0185</t>
  </si>
  <si>
    <t>2016-09-26</t>
  </si>
  <si>
    <t>Amit Agarwal</t>
  </si>
  <si>
    <t>EMP0184</t>
  </si>
  <si>
    <t>2020-01-30</t>
  </si>
  <si>
    <t>EMP0183</t>
  </si>
  <si>
    <t>2021-08-28</t>
  </si>
  <si>
    <t>Deepak Kumar</t>
  </si>
  <si>
    <t>EMP0182</t>
  </si>
  <si>
    <t>2019-08-09</t>
  </si>
  <si>
    <t>Aditya Malhotra</t>
  </si>
  <si>
    <t>EMP0181</t>
  </si>
  <si>
    <t>2022-11-24</t>
  </si>
  <si>
    <t>Riya Gupta</t>
  </si>
  <si>
    <t>EMP0180</t>
  </si>
  <si>
    <t>2024-07-10</t>
  </si>
  <si>
    <t>2021-09-09</t>
  </si>
  <si>
    <t>Anika Menon</t>
  </si>
  <si>
    <t>EMP0179</t>
  </si>
  <si>
    <t>2017-09-10</t>
  </si>
  <si>
    <t>Divya Agarwal</t>
  </si>
  <si>
    <t>EMP0178</t>
  </si>
  <si>
    <t>2021-03-15</t>
  </si>
  <si>
    <t>Arjun Patel</t>
  </si>
  <si>
    <t>EMP0177</t>
  </si>
  <si>
    <t>2025-11-14</t>
  </si>
  <si>
    <t>2018-11-14</t>
  </si>
  <si>
    <t>Karan Nair</t>
  </si>
  <si>
    <t>EMP0176</t>
  </si>
  <si>
    <t>2021-12-13</t>
  </si>
  <si>
    <t>Arjun Bhat</t>
  </si>
  <si>
    <t>EMP0175</t>
  </si>
  <si>
    <t>2019-06-24</t>
  </si>
  <si>
    <t>EMP0174</t>
  </si>
  <si>
    <t>2016-12-26</t>
  </si>
  <si>
    <t>Anjali Malhotra</t>
  </si>
  <si>
    <t>EMP0173</t>
  </si>
  <si>
    <t>2019-09-22</t>
  </si>
  <si>
    <t>2019-03-31</t>
  </si>
  <si>
    <t>Divya Desai</t>
  </si>
  <si>
    <t>EMP0172</t>
  </si>
  <si>
    <t>2021-02-26</t>
  </si>
  <si>
    <t>Manoj Verma</t>
  </si>
  <si>
    <t>EMP0171</t>
  </si>
  <si>
    <t>2021-08-11</t>
  </si>
  <si>
    <t>Nikhil Pillai</t>
  </si>
  <si>
    <t>EMP0170</t>
  </si>
  <si>
    <t>2025-07-02</t>
  </si>
  <si>
    <t>2019-09-05</t>
  </si>
  <si>
    <t>Ira Singh</t>
  </si>
  <si>
    <t>EMP0169</t>
  </si>
  <si>
    <t>2023-06-23</t>
  </si>
  <si>
    <t>2016-07-05</t>
  </si>
  <si>
    <t>EMP0168</t>
  </si>
  <si>
    <t>2024-06-19</t>
  </si>
  <si>
    <t>Deepak Kapoor</t>
  </si>
  <si>
    <t>EMP0167</t>
  </si>
  <si>
    <t>2025-01-16</t>
  </si>
  <si>
    <t>2023-07-23</t>
  </si>
  <si>
    <t>EMP0166</t>
  </si>
  <si>
    <t>2024-02-03</t>
  </si>
  <si>
    <t>Amit Patel</t>
  </si>
  <si>
    <t>EMP0165</t>
  </si>
  <si>
    <t>2017-01-10</t>
  </si>
  <si>
    <t>Manoj Gupta</t>
  </si>
  <si>
    <t>EMP0164</t>
  </si>
  <si>
    <t>2019-10-23</t>
  </si>
  <si>
    <t>Vivaan Patel</t>
  </si>
  <si>
    <t>EMP0163</t>
  </si>
  <si>
    <t>2016-04-17</t>
  </si>
  <si>
    <t>Meera Agarwal</t>
  </si>
  <si>
    <t>EMP0162</t>
  </si>
  <si>
    <t>2023-06-29</t>
  </si>
  <si>
    <t>2020-02-14</t>
  </si>
  <si>
    <t>Myra Kumar</t>
  </si>
  <si>
    <t>EMP0161</t>
  </si>
  <si>
    <t>2025-11-17</t>
  </si>
  <si>
    <t>2019-12-11</t>
  </si>
  <si>
    <t>Anil Verma</t>
  </si>
  <si>
    <t>EMP0160</t>
  </si>
  <si>
    <t>2019-09-12</t>
  </si>
  <si>
    <t>Vihaan Menon</t>
  </si>
  <si>
    <t>EMP0159</t>
  </si>
  <si>
    <t>2017-01-30</t>
  </si>
  <si>
    <t>Reyansh Gupta</t>
  </si>
  <si>
    <t>EMP0158</t>
  </si>
  <si>
    <t>2023-06-17</t>
  </si>
  <si>
    <t>Ishaan Mehta</t>
  </si>
  <si>
    <t>EMP0157</t>
  </si>
  <si>
    <t>2018-07-24</t>
  </si>
  <si>
    <t>Meera Reddy</t>
  </si>
  <si>
    <t>EMP0156</t>
  </si>
  <si>
    <t>2017-02-10</t>
  </si>
  <si>
    <t>Rajesh Bhat</t>
  </si>
  <si>
    <t>EMP0155</t>
  </si>
  <si>
    <t>2023-12-26</t>
  </si>
  <si>
    <t>Rohan Iyer</t>
  </si>
  <si>
    <t>EMP0154</t>
  </si>
  <si>
    <t>2016-10-28</t>
  </si>
  <si>
    <t>Ishaan Chopra</t>
  </si>
  <si>
    <t>EMP0153</t>
  </si>
  <si>
    <t>2016-09-06</t>
  </si>
  <si>
    <t>EMP0152</t>
  </si>
  <si>
    <t>2025-05-05</t>
  </si>
  <si>
    <t>2021-08-25</t>
  </si>
  <si>
    <t>EMP0151</t>
  </si>
  <si>
    <t>2022-07-02</t>
  </si>
  <si>
    <t>2021-11-24</t>
  </si>
  <si>
    <t>Kiara Verma</t>
  </si>
  <si>
    <t>EMP0150</t>
  </si>
  <si>
    <t>2020-05-22</t>
  </si>
  <si>
    <t>2017-06-23</t>
  </si>
  <si>
    <t>Kiara Patel</t>
  </si>
  <si>
    <t>EMP0149</t>
  </si>
  <si>
    <t>2019-02-09</t>
  </si>
  <si>
    <t>Myra Mehta</t>
  </si>
  <si>
    <t>EMP0148</t>
  </si>
  <si>
    <t>2024-10-05</t>
  </si>
  <si>
    <t>2018-04-20</t>
  </si>
  <si>
    <t>EMP0147</t>
  </si>
  <si>
    <t>2023-03-13</t>
  </si>
  <si>
    <t>Rajesh Gupta</t>
  </si>
  <si>
    <t>EMP0146</t>
  </si>
  <si>
    <t>2016-09-05</t>
  </si>
  <si>
    <t>Ishaan Joshi</t>
  </si>
  <si>
    <t>EMP0145</t>
  </si>
  <si>
    <t>2018-06-08</t>
  </si>
  <si>
    <t>EMP0144</t>
  </si>
  <si>
    <t>2020-08-26</t>
  </si>
  <si>
    <t>Sunita Kapoor</t>
  </si>
  <si>
    <t>EMP0143</t>
  </si>
  <si>
    <t>2020-05-10</t>
  </si>
  <si>
    <t>Ishaan Nair</t>
  </si>
  <si>
    <t>EMP0142</t>
  </si>
  <si>
    <t>2017-12-20</t>
  </si>
  <si>
    <t>2017-04-22</t>
  </si>
  <si>
    <t>Rajesh Rao</t>
  </si>
  <si>
    <t>EMP0141</t>
  </si>
  <si>
    <t>Priya Sharma</t>
  </si>
  <si>
    <t>EMP0140</t>
  </si>
  <si>
    <t>2025-03-22</t>
  </si>
  <si>
    <t>EMP0139</t>
  </si>
  <si>
    <t>2024-11-12</t>
  </si>
  <si>
    <t>Manoj Pillai</t>
  </si>
  <si>
    <t>EMP0138</t>
  </si>
  <si>
    <t>2017-07-30</t>
  </si>
  <si>
    <t>Amit Kumar</t>
  </si>
  <si>
    <t>EMP0137</t>
  </si>
  <si>
    <t>2026-03-26</t>
  </si>
  <si>
    <t>2025-04-24</t>
  </si>
  <si>
    <t>Vikram Bhat</t>
  </si>
  <si>
    <t>EMP0136</t>
  </si>
  <si>
    <t>2024-05-19</t>
  </si>
  <si>
    <t>Rohan Gupta</t>
  </si>
  <si>
    <t>EMP0135</t>
  </si>
  <si>
    <t>2019-06-19</t>
  </si>
  <si>
    <t>EMP0134</t>
  </si>
  <si>
    <t>2018-06-16</t>
  </si>
  <si>
    <t>Neha Rao</t>
  </si>
  <si>
    <t>EMP0133</t>
  </si>
  <si>
    <t>2023-09-10</t>
  </si>
  <si>
    <t>Manoj Iyer</t>
  </si>
  <si>
    <t>EMP0132</t>
  </si>
  <si>
    <t>2019-04-26</t>
  </si>
  <si>
    <t>EMP0131</t>
  </si>
  <si>
    <t>2018-03-26</t>
  </si>
  <si>
    <t>Anil Iyer</t>
  </si>
  <si>
    <t>EMP0130</t>
  </si>
  <si>
    <t>2021-11-22</t>
  </si>
  <si>
    <t>2017-10-09</t>
  </si>
  <si>
    <t>EMP0129</t>
  </si>
  <si>
    <t>2024-10-29</t>
  </si>
  <si>
    <t>2023-02-25</t>
  </si>
  <si>
    <t>Shreya Singh</t>
  </si>
  <si>
    <t>EMP0128</t>
  </si>
  <si>
    <t>2022-11-01</t>
  </si>
  <si>
    <t>Diya Patel</t>
  </si>
  <si>
    <t>EMP0127</t>
  </si>
  <si>
    <t>2024-01-20</t>
  </si>
  <si>
    <t>2020-10-30</t>
  </si>
  <si>
    <t>Vihaan Rao</t>
  </si>
  <si>
    <t>EMP0126</t>
  </si>
  <si>
    <t>2022-11-25</t>
  </si>
  <si>
    <t>2020-12-22</t>
  </si>
  <si>
    <t>EMP0125</t>
  </si>
  <si>
    <t>2023-01-29</t>
  </si>
  <si>
    <t>Aditya Agarwal</t>
  </si>
  <si>
    <t>EMP0124</t>
  </si>
  <si>
    <t>2023-01-11</t>
  </si>
  <si>
    <t>Amit Pillai</t>
  </si>
  <si>
    <t>EMP0123</t>
  </si>
  <si>
    <t>2019-10-18</t>
  </si>
  <si>
    <t>Karan Gupta</t>
  </si>
  <si>
    <t>EMP0122</t>
  </si>
  <si>
    <t>2016-03-03</t>
  </si>
  <si>
    <t>EMP0121</t>
  </si>
  <si>
    <t>2021-08-19</t>
  </si>
  <si>
    <t>Karan Chopra</t>
  </si>
  <si>
    <t>EMP0120</t>
  </si>
  <si>
    <t>2020-04-30</t>
  </si>
  <si>
    <t>Rahul Chopra</t>
  </si>
  <si>
    <t>EMP0119</t>
  </si>
  <si>
    <t>2022-05-31</t>
  </si>
  <si>
    <t>Rajesh Mehta</t>
  </si>
  <si>
    <t>EMP0118</t>
  </si>
  <si>
    <t>2021-06-06</t>
  </si>
  <si>
    <t>Neha Singh</t>
  </si>
  <si>
    <t>EMP0117</t>
  </si>
  <si>
    <t>2024-02-21</t>
  </si>
  <si>
    <t>Pooja Iyer</t>
  </si>
  <si>
    <t>EMP0116</t>
  </si>
  <si>
    <t>2016-10-12</t>
  </si>
  <si>
    <t>EMP0115</t>
  </si>
  <si>
    <t>2024-08-18</t>
  </si>
  <si>
    <t>2021-04-18</t>
  </si>
  <si>
    <t>EMP0114</t>
  </si>
  <si>
    <t>2023-04-07</t>
  </si>
  <si>
    <t>EMP0113</t>
  </si>
  <si>
    <t>2025-10-01</t>
  </si>
  <si>
    <t>2023-12-17</t>
  </si>
  <si>
    <t>Neha Kumar</t>
  </si>
  <si>
    <t>EMP0112</t>
  </si>
  <si>
    <t>2018-12-29</t>
  </si>
  <si>
    <t>Neha Malhotra</t>
  </si>
  <si>
    <t>EMP0111</t>
  </si>
  <si>
    <t>2021-03-07</t>
  </si>
  <si>
    <t>Pooja Sharma</t>
  </si>
  <si>
    <t>EMP0110</t>
  </si>
  <si>
    <t>2021-01-26</t>
  </si>
  <si>
    <t>2019-07-12</t>
  </si>
  <si>
    <t>Meera Verma</t>
  </si>
  <si>
    <t>EMP0109</t>
  </si>
  <si>
    <t>2023-10-12</t>
  </si>
  <si>
    <t>Ishaan Patel</t>
  </si>
  <si>
    <t>EMP0108</t>
  </si>
  <si>
    <t>2017-01-08</t>
  </si>
  <si>
    <t>Shreya Kapoor</t>
  </si>
  <si>
    <t>EMP0107</t>
  </si>
  <si>
    <t>2021-04-11</t>
  </si>
  <si>
    <t>EMP0106</t>
  </si>
  <si>
    <t>2022-08-01</t>
  </si>
  <si>
    <t>Vivaan Gupta</t>
  </si>
  <si>
    <t>EMP0105</t>
  </si>
  <si>
    <t>2025-05-16</t>
  </si>
  <si>
    <t>2022-09-15</t>
  </si>
  <si>
    <t>EMP0104</t>
  </si>
  <si>
    <t>2023-09-21</t>
  </si>
  <si>
    <t>EMP0103</t>
  </si>
  <si>
    <t>2024-11-20</t>
  </si>
  <si>
    <t>EMP0102</t>
  </si>
  <si>
    <t>2022-04-10</t>
  </si>
  <si>
    <t>2020-10-07</t>
  </si>
  <si>
    <t>Arjun Nair</t>
  </si>
  <si>
    <t>EMP0101</t>
  </si>
  <si>
    <t>2024-07-15</t>
  </si>
  <si>
    <t>2016-05-13</t>
  </si>
  <si>
    <t>Deepak Agarwal</t>
  </si>
  <si>
    <t>EMP0100</t>
  </si>
  <si>
    <t>2024-03-12</t>
  </si>
  <si>
    <t>2017-10-05</t>
  </si>
  <si>
    <t>Ira Iyer</t>
  </si>
  <si>
    <t>EMP0099</t>
  </si>
  <si>
    <t>2023-10-07</t>
  </si>
  <si>
    <t>2022-12-18</t>
  </si>
  <si>
    <t>EMP0098</t>
  </si>
  <si>
    <t>2024-09-12</t>
  </si>
  <si>
    <t>Swati Agarwal</t>
  </si>
  <si>
    <t>EMP0097</t>
  </si>
  <si>
    <t>2022-06-08</t>
  </si>
  <si>
    <t>2019-05-29</t>
  </si>
  <si>
    <t>EMP0096</t>
  </si>
  <si>
    <t>2026-02-25</t>
  </si>
  <si>
    <t>2025-03-21</t>
  </si>
  <si>
    <t>Vihaan Iyer</t>
  </si>
  <si>
    <t>EMP0095</t>
  </si>
  <si>
    <t>2019-03-10</t>
  </si>
  <si>
    <t>EMP0094</t>
  </si>
  <si>
    <t>2022-03-16</t>
  </si>
  <si>
    <t>EMP0093</t>
  </si>
  <si>
    <t>2018-07-20</t>
  </si>
  <si>
    <t>Riya Kumar</t>
  </si>
  <si>
    <t>EMP0092</t>
  </si>
  <si>
    <t>2019-02-06</t>
  </si>
  <si>
    <t>Aadhya Reddy</t>
  </si>
  <si>
    <t>EMP0091</t>
  </si>
  <si>
    <t>2025-10-16</t>
  </si>
  <si>
    <t>2019-07-16</t>
  </si>
  <si>
    <t>EMP0090</t>
  </si>
  <si>
    <t>2019-09-16</t>
  </si>
  <si>
    <t>Sanjay Kapoor</t>
  </si>
  <si>
    <t>EMP0089</t>
  </si>
  <si>
    <t>2019-06-08</t>
  </si>
  <si>
    <t>Riya Nair</t>
  </si>
  <si>
    <t>EMP0088</t>
  </si>
  <si>
    <t>2023-03-30</t>
  </si>
  <si>
    <t>Neha Pillai</t>
  </si>
  <si>
    <t>EMP0087</t>
  </si>
  <si>
    <t>2021-10-17</t>
  </si>
  <si>
    <t>Swati Iyer</t>
  </si>
  <si>
    <t>EMP0086</t>
  </si>
  <si>
    <t>2026-03-09</t>
  </si>
  <si>
    <t>2021-06-20</t>
  </si>
  <si>
    <t>Vivaan Chopra</t>
  </si>
  <si>
    <t>EMP0085</t>
  </si>
  <si>
    <t>2024-05-31</t>
  </si>
  <si>
    <t>Reyansh Iyer</t>
  </si>
  <si>
    <t>EMP0084</t>
  </si>
  <si>
    <t>2025-04-05</t>
  </si>
  <si>
    <t>EMP0083</t>
  </si>
  <si>
    <t>2024-03-24</t>
  </si>
  <si>
    <t>Rajesh Singh</t>
  </si>
  <si>
    <t>EMP0082</t>
  </si>
  <si>
    <t>2017-03-08</t>
  </si>
  <si>
    <t>Amit Sharma</t>
  </si>
  <si>
    <t>EMP0081</t>
  </si>
  <si>
    <t>2021-12-22</t>
  </si>
  <si>
    <t>Kabir Menon</t>
  </si>
  <si>
    <t>EMP0080</t>
  </si>
  <si>
    <t>2017-02-21</t>
  </si>
  <si>
    <t>Aadhya Gupta</t>
  </si>
  <si>
    <t>EMP0079</t>
  </si>
  <si>
    <t>2019-07-01</t>
  </si>
  <si>
    <t>Ananya Rao</t>
  </si>
  <si>
    <t>EMP0078</t>
  </si>
  <si>
    <t>2022-10-17</t>
  </si>
  <si>
    <t>Rajesh Iyer</t>
  </si>
  <si>
    <t>EMP0077</t>
  </si>
  <si>
    <t>2026-06-06</t>
  </si>
  <si>
    <t>2018-09-04</t>
  </si>
  <si>
    <t>Sara Reddy</t>
  </si>
  <si>
    <t>EMP0076</t>
  </si>
  <si>
    <t>2024-10-04</t>
  </si>
  <si>
    <t>Vihaan Joshi</t>
  </si>
  <si>
    <t>EMP0075</t>
  </si>
  <si>
    <t>2018-10-30</t>
  </si>
  <si>
    <t>Amit Desai</t>
  </si>
  <si>
    <t>EMP0074</t>
  </si>
  <si>
    <t>2022-07-14</t>
  </si>
  <si>
    <t>2018-01-14</t>
  </si>
  <si>
    <t>EMP0073</t>
  </si>
  <si>
    <t>2016-04-20</t>
  </si>
  <si>
    <t>EMP0072</t>
  </si>
  <si>
    <t>2019-10-08</t>
  </si>
  <si>
    <t>Anil Chopra</t>
  </si>
  <si>
    <t>EMP0071</t>
  </si>
  <si>
    <t>2024-12-20</t>
  </si>
  <si>
    <t>Suresh Pillai</t>
  </si>
  <si>
    <t>EMP0070</t>
  </si>
  <si>
    <t>EMP0069</t>
  </si>
  <si>
    <t>2020-05-14</t>
  </si>
  <si>
    <t>Suresh Verma</t>
  </si>
  <si>
    <t>EMP0068</t>
  </si>
  <si>
    <t>2025-04-30</t>
  </si>
  <si>
    <t>2023-12-03</t>
  </si>
  <si>
    <t>EMP0067</t>
  </si>
  <si>
    <t>2022-06-17</t>
  </si>
  <si>
    <t>2018-08-18</t>
  </si>
  <si>
    <t>Deepak Gupta</t>
  </si>
  <si>
    <t>EMP0066</t>
  </si>
  <si>
    <t>2026-04-26</t>
  </si>
  <si>
    <t>2023-02-24</t>
  </si>
  <si>
    <t>EMP0065</t>
  </si>
  <si>
    <t>2020-10-13</t>
  </si>
  <si>
    <t>Rahul Malhotra</t>
  </si>
  <si>
    <t>EMP0064</t>
  </si>
  <si>
    <t>2024-12-26</t>
  </si>
  <si>
    <t>Sara Kumar</t>
  </si>
  <si>
    <t>EMP0063</t>
  </si>
  <si>
    <t>2026-07-03</t>
  </si>
  <si>
    <t>2018-06-15</t>
  </si>
  <si>
    <t>EMP0062</t>
  </si>
  <si>
    <t>2018-03-07</t>
  </si>
  <si>
    <t>EMP0061</t>
  </si>
  <si>
    <t>2020-08-22</t>
  </si>
  <si>
    <t>Sara Rao</t>
  </si>
  <si>
    <t>EMP0060</t>
  </si>
  <si>
    <t>2023-06-12</t>
  </si>
  <si>
    <t>Ananya Gupta</t>
  </si>
  <si>
    <t>EMP0059</t>
  </si>
  <si>
    <t>2021-09-24</t>
  </si>
  <si>
    <t>Deepak Malhotra</t>
  </si>
  <si>
    <t>EMP0058</t>
  </si>
  <si>
    <t>2025-12-19</t>
  </si>
  <si>
    <t>EMP0057</t>
  </si>
  <si>
    <t>2023-08-06</t>
  </si>
  <si>
    <t>Rohan Reddy</t>
  </si>
  <si>
    <t>EMP0056</t>
  </si>
  <si>
    <t>2023-06-24</t>
  </si>
  <si>
    <t>Kabir Rao</t>
  </si>
  <si>
    <t>EMP0055</t>
  </si>
  <si>
    <t>2023-06-13</t>
  </si>
  <si>
    <t>EMP0054</t>
  </si>
  <si>
    <t>2023-12-13</t>
  </si>
  <si>
    <t>Divya Reddy</t>
  </si>
  <si>
    <t>EMP0053</t>
  </si>
  <si>
    <t>2020-11-22</t>
  </si>
  <si>
    <t>Anil Joshi</t>
  </si>
  <si>
    <t>EMP0052</t>
  </si>
  <si>
    <t>2022-07-06</t>
  </si>
  <si>
    <t>Vivaan Kumar</t>
  </si>
  <si>
    <t>EMP0051</t>
  </si>
  <si>
    <t>2020-06-25</t>
  </si>
  <si>
    <t>Arjun Iyer</t>
  </si>
  <si>
    <t>EMP0050</t>
  </si>
  <si>
    <t>2020-11-29</t>
  </si>
  <si>
    <t>2018-07-02</t>
  </si>
  <si>
    <t>Rajesh Joshi</t>
  </si>
  <si>
    <t>EMP0049</t>
  </si>
  <si>
    <t>2020-04-15</t>
  </si>
  <si>
    <t>Sara Iyer</t>
  </si>
  <si>
    <t>EMP0048</t>
  </si>
  <si>
    <t>2024-10-09</t>
  </si>
  <si>
    <t>Suresh Sharma</t>
  </si>
  <si>
    <t>EMP0047</t>
  </si>
  <si>
    <t>2018-08-27</t>
  </si>
  <si>
    <t>EMP0046</t>
  </si>
  <si>
    <t>2024-03-07</t>
  </si>
  <si>
    <t>2023-08-25</t>
  </si>
  <si>
    <t>Vikram Verma</t>
  </si>
  <si>
    <t>EMP0045</t>
  </si>
  <si>
    <t>2022-07-13</t>
  </si>
  <si>
    <t>Karan Pillai</t>
  </si>
  <si>
    <t>EMP0044</t>
  </si>
  <si>
    <t>2022-03-09</t>
  </si>
  <si>
    <t>EMP0043</t>
  </si>
  <si>
    <t>2025-07-20</t>
  </si>
  <si>
    <t>2025-04-20</t>
  </si>
  <si>
    <t>EMP0042</t>
  </si>
  <si>
    <t>2018-04-13</t>
  </si>
  <si>
    <t>Riya Agarwal</t>
  </si>
  <si>
    <t>EMP0041</t>
  </si>
  <si>
    <t>2018-12-14</t>
  </si>
  <si>
    <t>2017-07-04</t>
  </si>
  <si>
    <t>Meera Rao</t>
  </si>
  <si>
    <t>EMP0040</t>
  </si>
  <si>
    <t>2022-11-10</t>
  </si>
  <si>
    <t>EMP0039</t>
  </si>
  <si>
    <t>2019-11-30</t>
  </si>
  <si>
    <t>Ira Bhat</t>
  </si>
  <si>
    <t>EMP0038</t>
  </si>
  <si>
    <t>2022-12-19</t>
  </si>
  <si>
    <t>Rahul Gupta</t>
  </si>
  <si>
    <t>EMP0037</t>
  </si>
  <si>
    <t>Kiara Reddy</t>
  </si>
  <si>
    <t>EMP0036</t>
  </si>
  <si>
    <t>2026-06-18</t>
  </si>
  <si>
    <t>2022-12-11</t>
  </si>
  <si>
    <t>Divya Nair</t>
  </si>
  <si>
    <t>EMP0035</t>
  </si>
  <si>
    <t>2024-03-27</t>
  </si>
  <si>
    <t>2022-09-03</t>
  </si>
  <si>
    <t>Pooja Gupta</t>
  </si>
  <si>
    <t>EMP0034</t>
  </si>
  <si>
    <t>2021-08-21</t>
  </si>
  <si>
    <t>Rahul Verma</t>
  </si>
  <si>
    <t>EMP0033</t>
  </si>
  <si>
    <t>2020-03-24</t>
  </si>
  <si>
    <t>2019-04-30</t>
  </si>
  <si>
    <t>EMP0032</t>
  </si>
  <si>
    <t>2025-09-22</t>
  </si>
  <si>
    <t>Vihaan Patel</t>
  </si>
  <si>
    <t>EMP0031</t>
  </si>
  <si>
    <t>2017-11-12</t>
  </si>
  <si>
    <t>Sunita Sharma</t>
  </si>
  <si>
    <t>EMP0030</t>
  </si>
  <si>
    <t>2025-01-22</t>
  </si>
  <si>
    <t>Rajesh Nair</t>
  </si>
  <si>
    <t>EMP0029</t>
  </si>
  <si>
    <t>2023-06-04</t>
  </si>
  <si>
    <t>2018-02-23</t>
  </si>
  <si>
    <t>Manoj Mehta</t>
  </si>
  <si>
    <t>EMP0028</t>
  </si>
  <si>
    <t>2026-04-03</t>
  </si>
  <si>
    <t>2024-03-05</t>
  </si>
  <si>
    <t>EMP0027</t>
  </si>
  <si>
    <t>2025-01-20</t>
  </si>
  <si>
    <t>Divya Chopra</t>
  </si>
  <si>
    <t>EMP0026</t>
  </si>
  <si>
    <t>2018-05-27</t>
  </si>
  <si>
    <t>EMP0025</t>
  </si>
  <si>
    <t>2019-03-01</t>
  </si>
  <si>
    <t>2018-07-26</t>
  </si>
  <si>
    <t>EMP0024</t>
  </si>
  <si>
    <t>2019-01-01</t>
  </si>
  <si>
    <t>2018-07-09</t>
  </si>
  <si>
    <t>Kavita Malhotra</t>
  </si>
  <si>
    <t>EMP0023</t>
  </si>
  <si>
    <t>2020-06-22</t>
  </si>
  <si>
    <t>Sunita Reddy</t>
  </si>
  <si>
    <t>EMP0022</t>
  </si>
  <si>
    <t>2021-12-01</t>
  </si>
  <si>
    <t>Priya Pillai</t>
  </si>
  <si>
    <t>EMP0021</t>
  </si>
  <si>
    <t>2025-02-24</t>
  </si>
  <si>
    <t>Divya Gupta</t>
  </si>
  <si>
    <t>EMP0020</t>
  </si>
  <si>
    <t>2025-04-29</t>
  </si>
  <si>
    <t>EMP0019</t>
  </si>
  <si>
    <t>2026-04-14</t>
  </si>
  <si>
    <t>2024-07-20</t>
  </si>
  <si>
    <t>Swati Reddy</t>
  </si>
  <si>
    <t>EMP0018</t>
  </si>
  <si>
    <t>2017-03-11</t>
  </si>
  <si>
    <t>Kiara Bhat</t>
  </si>
  <si>
    <t>EMP0017</t>
  </si>
  <si>
    <t>2017-04-01</t>
  </si>
  <si>
    <t>Sunita Iyer</t>
  </si>
  <si>
    <t>EMP0016</t>
  </si>
  <si>
    <t>Swati Malhotra</t>
  </si>
  <si>
    <t>EMP0015</t>
  </si>
  <si>
    <t>2024-11-18</t>
  </si>
  <si>
    <t>EMP0014</t>
  </si>
  <si>
    <t>2021-11-08</t>
  </si>
  <si>
    <t>2020-01-22</t>
  </si>
  <si>
    <t>EMP0013</t>
  </si>
  <si>
    <t>2020-08-12</t>
  </si>
  <si>
    <t>2017-08-08</t>
  </si>
  <si>
    <t>EMP0012</t>
  </si>
  <si>
    <t>2018-05-14</t>
  </si>
  <si>
    <t>Rahul Desai</t>
  </si>
  <si>
    <t>EMP0011</t>
  </si>
  <si>
    <t>2024-08-13</t>
  </si>
  <si>
    <t>Meera Nair</t>
  </si>
  <si>
    <t>EMP0010</t>
  </si>
  <si>
    <t>2021-12-27</t>
  </si>
  <si>
    <t>Anika Gupta</t>
  </si>
  <si>
    <t>EMP0009</t>
  </si>
  <si>
    <t>2023-02-16</t>
  </si>
  <si>
    <t>Ishaan Desai</t>
  </si>
  <si>
    <t>EMP0008</t>
  </si>
  <si>
    <t>2024-09-01</t>
  </si>
  <si>
    <t>EMP0007</t>
  </si>
  <si>
    <t>Nikhil Gupta</t>
  </si>
  <si>
    <t>EMP0006</t>
  </si>
  <si>
    <t>2025-12-09</t>
  </si>
  <si>
    <t>2025-01-18</t>
  </si>
  <si>
    <t>EMP0005</t>
  </si>
  <si>
    <t>2026-07-20</t>
  </si>
  <si>
    <t>2017-09-28</t>
  </si>
  <si>
    <t>EMP0004</t>
  </si>
  <si>
    <t>2021-01-13</t>
  </si>
  <si>
    <t>Aadhya Pillai</t>
  </si>
  <si>
    <t>EMP0003</t>
  </si>
  <si>
    <t>2016-05-02</t>
  </si>
  <si>
    <t>Reyansh Menon</t>
  </si>
  <si>
    <t>EMP0002</t>
  </si>
  <si>
    <t>2020-02-21</t>
  </si>
  <si>
    <t>2018-09-30</t>
  </si>
  <si>
    <t>EMP0001</t>
  </si>
  <si>
    <t>Note: XLOOKUP, FILTER, SORT and UNIQUE are newer dynamic-array functions. This workbook uses VLOOKUP/INDEX-MATCH instead so every formula recalculates reliably across Excel versions. Try rebuilding the lookups with XLOOKUP yourself once you're comfortable with these basics.</t>
  </si>
  <si>
    <t>Headcount and attrition visuals</t>
  </si>
  <si>
    <t>Dashboard</t>
  </si>
  <si>
    <t>Bar Chart / Pie Chart</t>
  </si>
  <si>
    <t>Visualization</t>
  </si>
  <si>
    <t>Visual flag for high attrition departments</t>
  </si>
  <si>
    <t>Analysis!E4:E9</t>
  </si>
  <si>
    <t>Conditional Formatting (Color Scale)</t>
  </si>
  <si>
    <t>Formatting</t>
  </si>
  <si>
    <t>Restrict Department and Rating entries</t>
  </si>
  <si>
    <t>Raw Data!C2, H2</t>
  </si>
  <si>
    <t>Data Validation (List, Whole Number)</t>
  </si>
  <si>
    <t>Validation</t>
  </si>
  <si>
    <t>Conditional sum without a helper column</t>
  </si>
  <si>
    <t>Analysis!B19</t>
  </si>
  <si>
    <t>SUMPRODUCT</t>
  </si>
  <si>
    <t>Array-style aggregation</t>
  </si>
  <si>
    <t>Rank each employee by annual salary</t>
  </si>
  <si>
    <t>Calculations!I2</t>
  </si>
  <si>
    <t>RANK</t>
  </si>
  <si>
    <t>Statistics</t>
  </si>
  <si>
    <t>Salary distribution measures</t>
  </si>
  <si>
    <t>Analysis!B13:B15</t>
  </si>
  <si>
    <t>MEDIAN / STDEV / PERCENTILE</t>
  </si>
  <si>
    <t>As-of date for active employees</t>
  </si>
  <si>
    <t>Calculations!E2, K2</t>
  </si>
  <si>
    <t>TODAY</t>
  </si>
  <si>
    <t>Date</t>
  </si>
  <si>
    <t>Next scheduled review month-end</t>
  </si>
  <si>
    <t>Calculations!K2</t>
  </si>
  <si>
    <t>EOMONTH</t>
  </si>
  <si>
    <t>Tenure in completed years</t>
  </si>
  <si>
    <t>Calculations!E2</t>
  </si>
  <si>
    <t>DATEDIF</t>
  </si>
  <si>
    <t>Join department code and EmpID with a delimiter</t>
  </si>
  <si>
    <t>Calculations!J2</t>
  </si>
  <si>
    <t>TEXTJOIN</t>
  </si>
  <si>
    <t>Text</t>
  </si>
  <si>
    <t>First 3 letters of Department for EmpCode</t>
  </si>
  <si>
    <t>LEFT</t>
  </si>
  <si>
    <t>Avg salary, tenure, performance per department</t>
  </si>
  <si>
    <t>Analysis!F4:H9</t>
  </si>
  <si>
    <t>AVERAGEIFS</t>
  </si>
  <si>
    <t>Conditional aggregation</t>
  </si>
  <si>
    <t>Headcount, Active, Resigned counts per department</t>
  </si>
  <si>
    <t>Analysis!B4:D9</t>
  </si>
  <si>
    <t>COUNTIFS</t>
  </si>
  <si>
    <t>Return a fallback instead of a lookup or divide-by-zero error</t>
  </si>
  <si>
    <t>Calculations!M2, Analysis!E4</t>
  </si>
  <si>
    <t>IFERROR</t>
  </si>
  <si>
    <t>Error handling</t>
  </si>
  <si>
    <t>Flag Retention Risk when 3 conditions are all true</t>
  </si>
  <si>
    <t>Calculations!L2</t>
  </si>
  <si>
    <t>AND</t>
  </si>
  <si>
    <t>Logical</t>
  </si>
  <si>
    <t>Multi-condition bucketing (Age Bracket, Salary Band)</t>
  </si>
  <si>
    <t>Calculations!F2, H2</t>
  </si>
  <si>
    <t>IFS</t>
  </si>
  <si>
    <t>Classify employee as Active or Resigned</t>
  </si>
  <si>
    <t>Calculations!D2</t>
  </si>
  <si>
    <t>IF</t>
  </si>
  <si>
    <t>Pull EmployeeName for an EmpID (2-way flexible lookup)</t>
  </si>
  <si>
    <t>Calculations!B2</t>
  </si>
  <si>
    <t>INDEX + MATCH</t>
  </si>
  <si>
    <t>Lookup</t>
  </si>
  <si>
    <t>Pull Department for an EmpID from Raw Data</t>
  </si>
  <si>
    <t>Calculations!C2</t>
  </si>
  <si>
    <t>VLOOKUP</t>
  </si>
  <si>
    <t>Purpose</t>
  </si>
  <si>
    <t>Example Location</t>
  </si>
  <si>
    <t>Formula</t>
  </si>
  <si>
    <t>Category</t>
  </si>
  <si>
    <t>Formula Reference Guide</t>
  </si>
  <si>
    <t>DeptLookupCheck</t>
  </si>
  <si>
    <t>RetentionRisk</t>
  </si>
  <si>
    <t>NextReviewDate</t>
  </si>
  <si>
    <t>EmpCode</t>
  </si>
  <si>
    <t>SalaryRank</t>
  </si>
  <si>
    <t>SalaryBand</t>
  </si>
  <si>
    <t>AnnualSalary</t>
  </si>
  <si>
    <t>AgeBracket</t>
  </si>
  <si>
    <t>TenureYears</t>
  </si>
  <si>
    <t>Status</t>
  </si>
  <si>
    <t>Department-wise HR Analysis</t>
  </si>
  <si>
    <t>Headcount</t>
  </si>
  <si>
    <t>Active</t>
  </si>
  <si>
    <t>Resigned</t>
  </si>
  <si>
    <t>AttritionRate</t>
  </si>
  <si>
    <t>AvgSalary(Annual)</t>
  </si>
  <si>
    <t>AvgTenure(Yrs)</t>
  </si>
  <si>
    <t>AvgPerformance</t>
  </si>
  <si>
    <t>TOTAL / OVERALL</t>
  </si>
  <si>
    <t>Overall Salary Statistics</t>
  </si>
  <si>
    <t>Median Annual Salary</t>
  </si>
  <si>
    <t>Std Dev Annual Salary</t>
  </si>
  <si>
    <t>90th Percentile Salary</t>
  </si>
  <si>
    <t>Max Annual Salary</t>
  </si>
  <si>
    <t>Min Annual Salary</t>
  </si>
  <si>
    <t>High Performers (Rating&gt;=4)</t>
  </si>
  <si>
    <t>Total Salary Cost (SUMPRODUCT check)</t>
  </si>
  <si>
    <t>EMPLOYEE ATTRITION &amp; HR ANALYTICS DASHBOARD</t>
  </si>
  <si>
    <t>Total Headcount</t>
  </si>
  <si>
    <t>Overall Attrition Rate</t>
  </si>
  <si>
    <t>Avg Annual Salary</t>
  </si>
  <si>
    <t>Avg Tenure (Yrs)</t>
  </si>
  <si>
    <t>Attrition Rate</t>
  </si>
  <si>
    <t>Grand Total</t>
  </si>
  <si>
    <t>Sum Headcount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</si>
</sst>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yyyy\-mm\-dd"/>
    <numFmt numFmtId="165" formatCode="&quot;₹&quot;\ #,##0"/>
    <numFmt numFmtId="166" formatCode="[$-14009]yyyy/mm/dd;@"/>
    <numFmt numFmtId="167" formatCode="0.0%"/>
    <numFmt numFmtId="168" formatCode="0.0"/>
  </numFmts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Arial"/>
      <charset val="1"/>
    </font>
    <font>
      <sz val="10"/>
      <name val="Arial"/>
      <charset val="1"/>
    </font>
    <font>
      <i/>
      <sz val="9"/>
      <name val="Arial"/>
      <charset val="1"/>
    </font>
    <font>
      <b/>
      <sz val="10"/>
      <name val="Arial"/>
      <charset val="1"/>
    </font>
    <font>
      <b/>
      <sz val="14"/>
      <color rgb="FF1F4E78"/>
      <name val="Arial"/>
      <charset val="1"/>
    </font>
    <font>
      <b/>
      <sz val="14"/>
      <color rgb="FF1F4E78"/>
      <name val="Arial"/>
      <family val="2"/>
    </font>
    <font>
      <b/>
      <sz val="11"/>
      <color rgb="FFFFFFFF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sz val="20"/>
      <color theme="1"/>
      <name val="Calibri"/>
      <family val="2"/>
      <scheme val="minor"/>
    </font>
    <font>
      <sz val="26"/>
      <color theme="1"/>
      <name val="Calibri"/>
      <family val="2"/>
      <scheme val="minor"/>
    </font>
    <font>
      <sz val="16"/>
      <color theme="4" tint="-0.249977111117893"/>
      <name val="Calibri"/>
      <family val="2"/>
      <scheme val="minor"/>
    </font>
    <font>
      <b/>
      <sz val="16"/>
      <color theme="4" tint="-0.24997711111789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19">
    <xf numFmtId="0" fontId="0" fillId="0" borderId="0" xfId="0"/>
    <xf numFmtId="0" fontId="4" fillId="0" borderId="0" xfId="0" applyFont="1" applyAlignment="1">
      <alignment wrapText="1"/>
    </xf>
    <xf numFmtId="0" fontId="6" fillId="0" borderId="0" xfId="0" applyFont="1"/>
    <xf numFmtId="0" fontId="2" fillId="2" borderId="10" xfId="0" applyFont="1" applyFill="1" applyBorder="1"/>
    <xf numFmtId="0" fontId="3" fillId="0" borderId="11" xfId="0" applyFont="1" applyBorder="1"/>
    <xf numFmtId="0" fontId="3" fillId="0" borderId="12" xfId="0" applyFont="1" applyBorder="1"/>
    <xf numFmtId="0" fontId="5" fillId="0" borderId="11" xfId="0" applyFont="1" applyBorder="1"/>
    <xf numFmtId="0" fontId="5" fillId="0" borderId="12" xfId="0" applyFont="1" applyBorder="1"/>
    <xf numFmtId="0" fontId="2" fillId="2" borderId="15" xfId="0" applyFont="1" applyFill="1" applyBorder="1" applyAlignment="1">
      <alignment horizontal="center" vertical="center"/>
    </xf>
    <xf numFmtId="0" fontId="2" fillId="2" borderId="16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4" fontId="3" fillId="0" borderId="13" xfId="0" applyNumberFormat="1" applyFont="1" applyBorder="1" applyAlignment="1">
      <alignment horizontal="center" vertical="center"/>
    </xf>
    <xf numFmtId="165" fontId="3" fillId="0" borderId="13" xfId="0" applyNumberFormat="1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/>
    </xf>
    <xf numFmtId="165" fontId="3" fillId="0" borderId="1" xfId="0" applyNumberFormat="1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164" fontId="3" fillId="0" borderId="8" xfId="0" applyNumberFormat="1" applyFont="1" applyBorder="1" applyAlignment="1">
      <alignment horizontal="center" vertical="center"/>
    </xf>
    <xf numFmtId="165" fontId="3" fillId="0" borderId="8" xfId="0" applyNumberFormat="1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1" fontId="2" fillId="2" borderId="15" xfId="0" applyNumberFormat="1" applyFont="1" applyFill="1" applyBorder="1" applyAlignment="1">
      <alignment horizontal="center" vertical="center"/>
    </xf>
    <xf numFmtId="1" fontId="3" fillId="0" borderId="13" xfId="0" applyNumberFormat="1" applyFont="1" applyBorder="1" applyAlignment="1">
      <alignment horizontal="center" vertical="center"/>
    </xf>
    <xf numFmtId="1" fontId="3" fillId="0" borderId="1" xfId="0" applyNumberFormat="1" applyFont="1" applyBorder="1" applyAlignment="1">
      <alignment horizontal="center" vertical="center"/>
    </xf>
    <xf numFmtId="1" fontId="3" fillId="0" borderId="8" xfId="0" applyNumberFormat="1" applyFont="1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49" fontId="2" fillId="2" borderId="14" xfId="0" applyNumberFormat="1" applyFont="1" applyFill="1" applyBorder="1" applyAlignment="1">
      <alignment horizontal="center" vertical="center"/>
    </xf>
    <xf numFmtId="49" fontId="2" fillId="2" borderId="15" xfId="0" applyNumberFormat="1" applyFont="1" applyFill="1" applyBorder="1" applyAlignment="1">
      <alignment horizontal="center" vertical="center"/>
    </xf>
    <xf numFmtId="49" fontId="3" fillId="0" borderId="17" xfId="0" applyNumberFormat="1" applyFont="1" applyBorder="1" applyAlignment="1">
      <alignment horizontal="center" vertical="center"/>
    </xf>
    <xf numFmtId="49" fontId="3" fillId="0" borderId="13" xfId="0" applyNumberFormat="1" applyFont="1" applyBorder="1" applyAlignment="1">
      <alignment horizontal="center" vertical="center"/>
    </xf>
    <xf numFmtId="49" fontId="3" fillId="0" borderId="5" xfId="0" applyNumberFormat="1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49" fontId="3" fillId="0" borderId="7" xfId="0" applyNumberFormat="1" applyFont="1" applyBorder="1" applyAlignment="1">
      <alignment horizontal="center" vertical="center"/>
    </xf>
    <xf numFmtId="49" fontId="3" fillId="0" borderId="8" xfId="0" applyNumberFormat="1" applyFon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/>
    <xf numFmtId="14" fontId="0" fillId="0" borderId="0" xfId="0" applyNumberFormat="1"/>
    <xf numFmtId="165" fontId="0" fillId="0" borderId="1" xfId="0" applyNumberFormat="1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167" fontId="0" fillId="0" borderId="1" xfId="0" applyNumberFormat="1" applyBorder="1" applyAlignment="1">
      <alignment horizontal="center" vertical="center"/>
    </xf>
    <xf numFmtId="168" fontId="0" fillId="0" borderId="1" xfId="0" applyNumberFormat="1" applyBorder="1" applyAlignment="1">
      <alignment horizontal="center" vertical="center"/>
    </xf>
    <xf numFmtId="0" fontId="8" fillId="2" borderId="19" xfId="0" applyFont="1" applyFill="1" applyBorder="1" applyAlignment="1">
      <alignment horizontal="center" vertical="center" wrapText="1"/>
    </xf>
    <xf numFmtId="0" fontId="8" fillId="2" borderId="20" xfId="0" applyFont="1" applyFill="1" applyBorder="1" applyAlignment="1">
      <alignment horizontal="center" vertical="center" wrapText="1"/>
    </xf>
    <xf numFmtId="0" fontId="8" fillId="2" borderId="21" xfId="0" applyFont="1" applyFill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/>
    </xf>
    <xf numFmtId="168" fontId="0" fillId="0" borderId="6" xfId="0" applyNumberFormat="1" applyBorder="1" applyAlignment="1">
      <alignment horizontal="center" vertical="center"/>
    </xf>
    <xf numFmtId="3" fontId="0" fillId="0" borderId="6" xfId="0" applyNumberForma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3" fontId="0" fillId="0" borderId="9" xfId="0" applyNumberFormat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165" fontId="0" fillId="0" borderId="18" xfId="0" applyNumberFormat="1" applyBorder="1" applyAlignment="1">
      <alignment horizontal="center" vertical="center"/>
    </xf>
    <xf numFmtId="0" fontId="9" fillId="0" borderId="22" xfId="0" applyFont="1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167" fontId="0" fillId="0" borderId="23" xfId="0" applyNumberFormat="1" applyBorder="1" applyAlignment="1">
      <alignment horizontal="center" vertical="center"/>
    </xf>
    <xf numFmtId="165" fontId="0" fillId="0" borderId="23" xfId="0" applyNumberFormat="1" applyBorder="1" applyAlignment="1">
      <alignment horizontal="center" vertical="center"/>
    </xf>
    <xf numFmtId="168" fontId="0" fillId="0" borderId="23" xfId="0" applyNumberFormat="1" applyBorder="1" applyAlignment="1">
      <alignment horizontal="center" vertical="center"/>
    </xf>
    <xf numFmtId="168" fontId="0" fillId="0" borderId="24" xfId="0" applyNumberForma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167" fontId="1" fillId="0" borderId="15" xfId="0" applyNumberFormat="1" applyFont="1" applyBorder="1" applyAlignment="1">
      <alignment horizontal="center" vertical="center"/>
    </xf>
    <xf numFmtId="165" fontId="1" fillId="0" borderId="15" xfId="0" applyNumberFormat="1" applyFont="1" applyBorder="1" applyAlignment="1">
      <alignment horizontal="center" vertical="center"/>
    </xf>
    <xf numFmtId="168" fontId="1" fillId="0" borderId="15" xfId="0" applyNumberFormat="1" applyFont="1" applyBorder="1" applyAlignment="1">
      <alignment horizontal="center" vertical="center"/>
    </xf>
    <xf numFmtId="168" fontId="1" fillId="0" borderId="16" xfId="0" applyNumberFormat="1" applyFont="1" applyBorder="1" applyAlignment="1">
      <alignment horizontal="center" vertical="center"/>
    </xf>
    <xf numFmtId="0" fontId="8" fillId="2" borderId="19" xfId="0" applyFont="1" applyFill="1" applyBorder="1" applyAlignment="1">
      <alignment horizontal="center" vertical="center"/>
    </xf>
    <xf numFmtId="0" fontId="8" fillId="2" borderId="20" xfId="0" applyFont="1" applyFill="1" applyBorder="1" applyAlignment="1">
      <alignment horizontal="center" vertical="center"/>
    </xf>
    <xf numFmtId="14" fontId="8" fillId="2" borderId="20" xfId="0" applyNumberFormat="1" applyFont="1" applyFill="1" applyBorder="1" applyAlignment="1">
      <alignment horizontal="center" vertical="center"/>
    </xf>
    <xf numFmtId="0" fontId="8" fillId="2" borderId="21" xfId="0" applyFont="1" applyFill="1" applyBorder="1" applyAlignment="1">
      <alignment horizontal="center" vertical="center"/>
    </xf>
    <xf numFmtId="49" fontId="0" fillId="0" borderId="5" xfId="0" applyNumberForma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49" fontId="0" fillId="0" borderId="7" xfId="0" applyNumberForma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165" fontId="0" fillId="0" borderId="8" xfId="0" applyNumberFormat="1" applyBorder="1" applyAlignment="1">
      <alignment horizontal="center" vertical="center"/>
    </xf>
    <xf numFmtId="166" fontId="0" fillId="0" borderId="8" xfId="0" applyNumberForma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2" fillId="0" borderId="0" xfId="0" applyFont="1"/>
    <xf numFmtId="0" fontId="13" fillId="0" borderId="0" xfId="0" applyFont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167" fontId="0" fillId="0" borderId="18" xfId="0" applyNumberForma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167" fontId="0" fillId="0" borderId="6" xfId="0" applyNumberForma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167" fontId="0" fillId="0" borderId="24" xfId="0" applyNumberFormat="1" applyBorder="1" applyAlignment="1">
      <alignment horizontal="center" vertical="center"/>
    </xf>
    <xf numFmtId="167" fontId="0" fillId="0" borderId="16" xfId="0" applyNumberForma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3" fillId="0" borderId="25" xfId="0" applyFont="1" applyBorder="1" applyAlignment="1">
      <alignment horizontal="center" vertical="center"/>
    </xf>
    <xf numFmtId="0" fontId="13" fillId="0" borderId="26" xfId="0" applyFont="1" applyBorder="1" applyAlignment="1">
      <alignment horizontal="center" vertical="center"/>
    </xf>
    <xf numFmtId="167" fontId="13" fillId="0" borderId="25" xfId="0" applyNumberFormat="1" applyFont="1" applyBorder="1" applyAlignment="1">
      <alignment horizontal="center" vertical="center"/>
    </xf>
    <xf numFmtId="167" fontId="13" fillId="0" borderId="26" xfId="0" applyNumberFormat="1" applyFont="1" applyBorder="1" applyAlignment="1">
      <alignment horizontal="center" vertical="center"/>
    </xf>
    <xf numFmtId="165" fontId="13" fillId="0" borderId="25" xfId="0" applyNumberFormat="1" applyFont="1" applyBorder="1" applyAlignment="1">
      <alignment horizontal="center" vertical="center"/>
    </xf>
    <xf numFmtId="165" fontId="13" fillId="0" borderId="26" xfId="0" applyNumberFormat="1" applyFont="1" applyBorder="1" applyAlignment="1">
      <alignment horizontal="center" vertical="center"/>
    </xf>
    <xf numFmtId="168" fontId="13" fillId="0" borderId="25" xfId="0" applyNumberFormat="1" applyFont="1" applyBorder="1" applyAlignment="1">
      <alignment horizontal="center" vertical="center"/>
    </xf>
    <xf numFmtId="168" fontId="13" fillId="0" borderId="26" xfId="0" applyNumberFormat="1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 wrapText="1"/>
    </xf>
    <xf numFmtId="0" fontId="15" fillId="0" borderId="4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7" fillId="0" borderId="2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4" xfId="0" applyFont="1" applyBorder="1" applyAlignment="1">
      <alignment horizontal="center"/>
    </xf>
  </cellXfs>
  <cellStyles count="1">
    <cellStyle name="Normal" xfId="0" builtinId="0"/>
  </cellStyles>
  <dxfs count="29"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b/>
      </font>
    </dxf>
    <dxf>
      <border>
        <top style="medium">
          <color indexed="64"/>
        </top>
      </border>
    </dxf>
    <dxf>
      <border>
        <top style="medium">
          <color indexed="64"/>
        </top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[Employee Attrition &amp; HR Analytics Dashboard.xlsx]Dashboard!PivotTable1</c:name>
    <c:fmtId val="3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5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headcount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5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flip="none" rotWithShape="1">
            <a:gsLst>
              <a:gs pos="0">
                <a:schemeClr val="accent1"/>
              </a:gs>
              <a:gs pos="75000">
                <a:schemeClr val="accent1">
                  <a:lumMod val="60000"/>
                  <a:lumOff val="40000"/>
                </a:schemeClr>
              </a:gs>
              <a:gs pos="51000">
                <a:schemeClr val="accent1">
                  <a:alpha val="75000"/>
                </a:schemeClr>
              </a:gs>
              <a:gs pos="100000">
                <a:schemeClr val="accent1">
                  <a:lumMod val="20000"/>
                  <a:lumOff val="80000"/>
                  <a:alpha val="15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flip="none" rotWithShape="1">
            <a:gsLst>
              <a:gs pos="0">
                <a:schemeClr val="accent1"/>
              </a:gs>
              <a:gs pos="75000">
                <a:schemeClr val="accent1">
                  <a:lumMod val="60000"/>
                  <a:lumOff val="40000"/>
                </a:schemeClr>
              </a:gs>
              <a:gs pos="51000">
                <a:schemeClr val="accent1">
                  <a:alpha val="75000"/>
                </a:schemeClr>
              </a:gs>
              <a:gs pos="100000">
                <a:schemeClr val="accent1">
                  <a:lumMod val="20000"/>
                  <a:lumOff val="80000"/>
                  <a:alpha val="15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Dashboard!$C$9</c:f>
              <c:strCache>
                <c:ptCount val="1"/>
                <c:pt idx="0">
                  <c:v>Sum Headcount</c:v>
                </c:pt>
              </c:strCache>
            </c:strRef>
          </c:tx>
          <c:spPr>
            <a:gradFill flip="none" rotWithShape="1">
              <a:gsLst>
                <a:gs pos="0">
                  <a:schemeClr val="accent1"/>
                </a:gs>
                <a:gs pos="75000">
                  <a:schemeClr val="accent1">
                    <a:lumMod val="60000"/>
                    <a:lumOff val="40000"/>
                  </a:schemeClr>
                </a:gs>
                <a:gs pos="51000">
                  <a:schemeClr val="accent1">
                    <a:alpha val="75000"/>
                  </a:schemeClr>
                </a:gs>
                <a:gs pos="100000">
                  <a:schemeClr val="accent1"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Dashboard!$B$10:$B$16</c:f>
              <c:strCache>
                <c:ptCount val="6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Operations</c:v>
                </c:pt>
                <c:pt idx="5">
                  <c:v>Sales</c:v>
                </c:pt>
              </c:strCache>
            </c:strRef>
          </c:cat>
          <c:val>
            <c:numRef>
              <c:f>Dashboard!$C$10:$C$16</c:f>
              <c:numCache>
                <c:formatCode>General</c:formatCode>
                <c:ptCount val="6"/>
                <c:pt idx="0">
                  <c:v>42</c:v>
                </c:pt>
                <c:pt idx="1">
                  <c:v>48</c:v>
                </c:pt>
                <c:pt idx="2">
                  <c:v>50</c:v>
                </c:pt>
                <c:pt idx="3">
                  <c:v>51</c:v>
                </c:pt>
                <c:pt idx="4">
                  <c:v>52</c:v>
                </c:pt>
                <c:pt idx="5">
                  <c:v>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9F8-4ADB-A679-7CEBE1A8ED71}"/>
            </c:ext>
          </c:extLst>
        </c:ser>
        <c:ser>
          <c:idx val="1"/>
          <c:order val="1"/>
          <c:tx>
            <c:strRef>
              <c:f>Dashboard!$D$9</c:f>
              <c:strCache>
                <c:ptCount val="1"/>
                <c:pt idx="0">
                  <c:v>Attrition Rate</c:v>
                </c:pt>
              </c:strCache>
            </c:strRef>
          </c:tx>
          <c:spPr>
            <a:gradFill flip="none" rotWithShape="1">
              <a:gsLst>
                <a:gs pos="0">
                  <a:schemeClr val="accent2"/>
                </a:gs>
                <a:gs pos="75000">
                  <a:schemeClr val="accent2">
                    <a:lumMod val="60000"/>
                    <a:lumOff val="40000"/>
                  </a:schemeClr>
                </a:gs>
                <a:gs pos="51000">
                  <a:schemeClr val="accent2">
                    <a:alpha val="75000"/>
                  </a:schemeClr>
                </a:gs>
                <a:gs pos="100000">
                  <a:schemeClr val="accent2"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Dashboard!$B$10:$B$16</c:f>
              <c:strCache>
                <c:ptCount val="6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Operations</c:v>
                </c:pt>
                <c:pt idx="5">
                  <c:v>Sales</c:v>
                </c:pt>
              </c:strCache>
            </c:strRef>
          </c:cat>
          <c:val>
            <c:numRef>
              <c:f>Dashboard!$D$10:$D$16</c:f>
              <c:numCache>
                <c:formatCode>0.0%</c:formatCode>
                <c:ptCount val="6"/>
                <c:pt idx="0">
                  <c:v>0.33333333333333331</c:v>
                </c:pt>
                <c:pt idx="1">
                  <c:v>0.29166666666666669</c:v>
                </c:pt>
                <c:pt idx="2">
                  <c:v>0.24</c:v>
                </c:pt>
                <c:pt idx="3">
                  <c:v>0.21568627450980393</c:v>
                </c:pt>
                <c:pt idx="4">
                  <c:v>0.36538461538461536</c:v>
                </c:pt>
                <c:pt idx="5">
                  <c:v>0.2982456140350877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9F8-4ADB-A679-7CEBE1A8ED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55"/>
        <c:overlap val="-70"/>
        <c:axId val="1768752943"/>
        <c:axId val="1768754863"/>
      </c:barChart>
      <c:catAx>
        <c:axId val="176875294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8754863"/>
        <c:crosses val="autoZero"/>
        <c:auto val="1"/>
        <c:lblAlgn val="ctr"/>
        <c:lblOffset val="100"/>
        <c:noMultiLvlLbl val="0"/>
      </c:catAx>
      <c:valAx>
        <c:axId val="1768754863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tx1">
                      <a:lumMod val="5000"/>
                      <a:lumOff val="95000"/>
                    </a:schemeClr>
                  </a:gs>
                  <a:gs pos="0">
                    <a:schemeClr val="tx1">
                      <a:lumMod val="25000"/>
                      <a:lumOff val="7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87529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>
          <a:solidFill>
            <a:schemeClr val="dk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[Employee Attrition &amp; HR Analytics Dashboard.xlsx]Dashboard!PivotTable1</c:name>
    <c:fmtId val="4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ATTRITION</a:t>
            </a:r>
            <a:r>
              <a:rPr lang="en-US" baseline="0"/>
              <a:t> RATE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6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7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8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9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0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1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2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3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Dashboard!$C$9</c:f>
              <c:strCache>
                <c:ptCount val="1"/>
                <c:pt idx="0">
                  <c:v>Sum Headcount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3258-467E-BAC1-4D3AF3B0F72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3258-467E-BAC1-4D3AF3B0F72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3258-467E-BAC1-4D3AF3B0F72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3258-467E-BAC1-4D3AF3B0F72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3258-467E-BAC1-4D3AF3B0F72A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3258-467E-BAC1-4D3AF3B0F72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Dashboard!$B$10:$B$16</c:f>
              <c:strCache>
                <c:ptCount val="6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Operations</c:v>
                </c:pt>
                <c:pt idx="5">
                  <c:v>Sales</c:v>
                </c:pt>
              </c:strCache>
            </c:strRef>
          </c:cat>
          <c:val>
            <c:numRef>
              <c:f>Dashboard!$C$10:$C$16</c:f>
              <c:numCache>
                <c:formatCode>General</c:formatCode>
                <c:ptCount val="6"/>
                <c:pt idx="0">
                  <c:v>42</c:v>
                </c:pt>
                <c:pt idx="1">
                  <c:v>48</c:v>
                </c:pt>
                <c:pt idx="2">
                  <c:v>50</c:v>
                </c:pt>
                <c:pt idx="3">
                  <c:v>51</c:v>
                </c:pt>
                <c:pt idx="4">
                  <c:v>52</c:v>
                </c:pt>
                <c:pt idx="5">
                  <c:v>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1E-4D1E-ADEE-D9AE29DCCF37}"/>
            </c:ext>
          </c:extLst>
        </c:ser>
        <c:ser>
          <c:idx val="1"/>
          <c:order val="1"/>
          <c:tx>
            <c:strRef>
              <c:f>Dashboard!$D$9</c:f>
              <c:strCache>
                <c:ptCount val="1"/>
                <c:pt idx="0">
                  <c:v>Attrition Rate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3258-467E-BAC1-4D3AF3B0F72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3258-467E-BAC1-4D3AF3B0F72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3258-467E-BAC1-4D3AF3B0F72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3258-467E-BAC1-4D3AF3B0F72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5-3258-467E-BAC1-4D3AF3B0F72A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7-3258-467E-BAC1-4D3AF3B0F72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Dashboard!$B$10:$B$16</c:f>
              <c:strCache>
                <c:ptCount val="6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Operations</c:v>
                </c:pt>
                <c:pt idx="5">
                  <c:v>Sales</c:v>
                </c:pt>
              </c:strCache>
            </c:strRef>
          </c:cat>
          <c:val>
            <c:numRef>
              <c:f>Dashboard!$D$10:$D$16</c:f>
              <c:numCache>
                <c:formatCode>0.0%</c:formatCode>
                <c:ptCount val="6"/>
                <c:pt idx="0">
                  <c:v>0.33333333333333331</c:v>
                </c:pt>
                <c:pt idx="1">
                  <c:v>0.29166666666666669</c:v>
                </c:pt>
                <c:pt idx="2">
                  <c:v>0.24</c:v>
                </c:pt>
                <c:pt idx="3">
                  <c:v>0.21568627450980393</c:v>
                </c:pt>
                <c:pt idx="4">
                  <c:v>0.36538461538461536</c:v>
                </c:pt>
                <c:pt idx="5">
                  <c:v>0.2982456140350877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61E-4D1E-ADEE-D9AE29DCCF37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426720</xdr:colOff>
      <xdr:row>5</xdr:row>
      <xdr:rowOff>163830</xdr:rowOff>
    </xdr:from>
    <xdr:to>
      <xdr:col>11</xdr:col>
      <xdr:colOff>975360</xdr:colOff>
      <xdr:row>20</xdr:row>
      <xdr:rowOff>133350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EBE48FA-C818-6844-220E-FFFA81D99F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320040</xdr:colOff>
      <xdr:row>21</xdr:row>
      <xdr:rowOff>140970</xdr:rowOff>
    </xdr:from>
    <xdr:to>
      <xdr:col>11</xdr:col>
      <xdr:colOff>868680</xdr:colOff>
      <xdr:row>36</xdr:row>
      <xdr:rowOff>140970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539853D5-C180-7DCE-D965-1706F643FF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NTOSH BHOGATE" refreshedDate="46226.56603263889" createdVersion="8" refreshedVersion="8" minRefreshableVersion="3" recordCount="7" xr:uid="{B6DF95A3-4D20-4BFC-AA54-4117A75FB74F}">
  <cacheSource type="worksheet">
    <worksheetSource ref="A3:H10" sheet="Analysis"/>
  </cacheSource>
  <cacheFields count="8">
    <cacheField name="Department" numFmtId="0">
      <sharedItems count="7">
        <s v="Sales"/>
        <s v="Marketing"/>
        <s v="Finance"/>
        <s v="HR"/>
        <s v="IT"/>
        <s v="Operations"/>
        <s v="TOTAL / OVERALL"/>
      </sharedItems>
    </cacheField>
    <cacheField name="Headcount" numFmtId="0">
      <sharedItems containsSemiMixedTypes="0" containsString="0" containsNumber="1" containsInteger="1" minValue="42" maxValue="300" count="7">
        <n v="57"/>
        <n v="51"/>
        <n v="42"/>
        <n v="48"/>
        <n v="50"/>
        <n v="52"/>
        <n v="300"/>
      </sharedItems>
    </cacheField>
    <cacheField name="Active" numFmtId="0">
      <sharedItems containsSemiMixedTypes="0" containsString="0" containsNumber="1" containsInteger="1" minValue="28" maxValue="213" count="6">
        <n v="40"/>
        <n v="28"/>
        <n v="34"/>
        <n v="38"/>
        <n v="33"/>
        <n v="213"/>
      </sharedItems>
    </cacheField>
    <cacheField name="Resigned" numFmtId="0">
      <sharedItems containsSemiMixedTypes="0" containsString="0" containsNumber="1" containsInteger="1" minValue="11" maxValue="87" count="6">
        <n v="17"/>
        <n v="11"/>
        <n v="14"/>
        <n v="12"/>
        <n v="19"/>
        <n v="87"/>
      </sharedItems>
    </cacheField>
    <cacheField name="AttritionRate" numFmtId="167">
      <sharedItems containsSemiMixedTypes="0" containsString="0" containsNumber="1" minValue="0.21568627450980393" maxValue="0.36538461538461536"/>
    </cacheField>
    <cacheField name="AvgSalary(Annual)" numFmtId="165">
      <sharedItems containsSemiMixedTypes="0" containsString="0" containsNumber="1" minValue="457125" maxValue="680472"/>
    </cacheField>
    <cacheField name="AvgTenure(Yrs)" numFmtId="168">
      <sharedItems containsSemiMixedTypes="0" containsString="0" containsNumber="1" minValue="4.0952380952380949" maxValue="4.9800000000000004"/>
    </cacheField>
    <cacheField name="AvgPerformance" numFmtId="168">
      <sharedItems containsSemiMixedTypes="0" containsString="0" containsNumber="1" minValue="3.0576923076923075" maxValue="3.5"/>
    </cacheField>
  </cacheFields>
  <extLst>
    <ext xmlns:x14="http://schemas.microsoft.com/office/spreadsheetml/2009/9/main" uri="{725AE2AE-9491-48be-B2B4-4EB974FC3084}">
      <x14:pivotCacheDefinition pivotCacheId="563755349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">
  <r>
    <x v="0"/>
    <x v="0"/>
    <x v="0"/>
    <x v="0"/>
    <n v="0.2982456140350877"/>
    <n v="480000"/>
    <n v="4.2631578947368425"/>
    <n v="3.1052631578947367"/>
  </r>
  <r>
    <x v="1"/>
    <x v="1"/>
    <x v="0"/>
    <x v="1"/>
    <n v="0.21568627450980393"/>
    <n v="515623.5294117647"/>
    <n v="4.4509803921568629"/>
    <n v="3.4705882352941178"/>
  </r>
  <r>
    <x v="2"/>
    <x v="2"/>
    <x v="1"/>
    <x v="2"/>
    <n v="0.33333333333333331"/>
    <n v="623000"/>
    <n v="4.0952380952380949"/>
    <n v="3.5"/>
  </r>
  <r>
    <x v="3"/>
    <x v="3"/>
    <x v="2"/>
    <x v="2"/>
    <n v="0.29166666666666669"/>
    <n v="457125"/>
    <n v="4.625"/>
    <n v="3.5"/>
  </r>
  <r>
    <x v="4"/>
    <x v="4"/>
    <x v="3"/>
    <x v="3"/>
    <n v="0.24"/>
    <n v="680472"/>
    <n v="4.9800000000000004"/>
    <n v="3.38"/>
  </r>
  <r>
    <x v="5"/>
    <x v="5"/>
    <x v="4"/>
    <x v="4"/>
    <n v="0.36538461538461536"/>
    <n v="512030.76923076925"/>
    <n v="4.5769230769230766"/>
    <n v="3.0576923076923075"/>
  </r>
  <r>
    <x v="6"/>
    <x v="6"/>
    <x v="5"/>
    <x v="5"/>
    <n v="0.28999999999999998"/>
    <n v="541380"/>
    <n v="4.503333333333333"/>
    <n v="3.323333333333333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3A7E2E6-6EAD-4D44-9DD5-2A3D6FF11810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5" rowHeaderCaption="Department">
  <location ref="B9:D16" firstHeaderRow="0" firstDataRow="1" firstDataCol="1"/>
  <pivotFields count="8">
    <pivotField axis="axisRow" showAll="0">
      <items count="8">
        <item x="2"/>
        <item x="3"/>
        <item x="4"/>
        <item x="1"/>
        <item x="5"/>
        <item x="0"/>
        <item h="1" x="6"/>
        <item t="default"/>
      </items>
    </pivotField>
    <pivotField dataField="1" showAll="0"/>
    <pivotField showAll="0"/>
    <pivotField showAll="0"/>
    <pivotField dataField="1" numFmtId="167" showAll="0"/>
    <pivotField numFmtId="165" showAll="0"/>
    <pivotField numFmtId="168" showAll="0"/>
    <pivotField numFmtId="168" showAl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Sum Headcount" fld="1" baseField="0" baseItem="0"/>
    <dataField name="Attrition Rate" fld="4" baseField="0" baseItem="0" numFmtId="167"/>
  </dataFields>
  <formats count="29">
    <format dxfId="28">
      <pivotArea type="all" dataOnly="0" outline="0" fieldPosition="0"/>
    </format>
    <format dxfId="27">
      <pivotArea outline="0" collapsedLevelsAreSubtotals="1" fieldPosition="0"/>
    </format>
    <format dxfId="26">
      <pivotArea field="0" type="button" dataOnly="0" labelOnly="1" outline="0" axis="axisRow" fieldPosition="0"/>
    </format>
    <format dxfId="25">
      <pivotArea dataOnly="0" labelOnly="1" fieldPosition="0">
        <references count="1">
          <reference field="0" count="0"/>
        </references>
      </pivotArea>
    </format>
    <format dxfId="24">
      <pivotArea dataOnly="0" labelOnly="1" grandRow="1" outline="0" fieldPosition="0"/>
    </format>
    <format dxfId="2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2">
      <pivotArea field="0" type="button" dataOnly="0" labelOnly="1" outline="0" axis="axisRow" fieldPosition="0"/>
    </format>
    <format dxfId="2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0">
      <pivotArea grandRow="1" outline="0" collapsedLevelsAreSubtotals="1" fieldPosition="0"/>
    </format>
    <format dxfId="19">
      <pivotArea dataOnly="0" labelOnly="1" grandRow="1" outline="0" fieldPosition="0"/>
    </format>
    <format dxfId="18">
      <pivotArea dataOnly="0" labelOnly="1" fieldPosition="0">
        <references count="1">
          <reference field="0" count="0"/>
        </references>
      </pivotArea>
    </format>
    <format dxfId="17">
      <pivotArea type="all" dataOnly="0" outline="0" fieldPosition="0"/>
    </format>
    <format dxfId="16">
      <pivotArea outline="0" collapsedLevelsAreSubtotals="1" fieldPosition="0"/>
    </format>
    <format dxfId="15">
      <pivotArea field="0" type="button" dataOnly="0" labelOnly="1" outline="0" axis="axisRow" fieldPosition="0"/>
    </format>
    <format dxfId="14">
      <pivotArea dataOnly="0" labelOnly="1" fieldPosition="0">
        <references count="1">
          <reference field="0" count="0"/>
        </references>
      </pivotArea>
    </format>
    <format dxfId="13">
      <pivotArea dataOnly="0" labelOnly="1" grandRow="1" outline="0" fieldPosition="0"/>
    </format>
    <format dxfId="1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1">
      <pivotArea type="all" dataOnly="0" outline="0" fieldPosition="0"/>
    </format>
    <format dxfId="10">
      <pivotArea outline="0" collapsedLevelsAreSubtotals="1" fieldPosition="0"/>
    </format>
    <format dxfId="9">
      <pivotArea field="0" type="button" dataOnly="0" labelOnly="1" outline="0" axis="axisRow" fieldPosition="0"/>
    </format>
    <format dxfId="8">
      <pivotArea dataOnly="0" labelOnly="1" fieldPosition="0">
        <references count="1">
          <reference field="0" count="0"/>
        </references>
      </pivotArea>
    </format>
    <format dxfId="7">
      <pivotArea dataOnly="0" labelOnly="1" grandRow="1" outline="0" fieldPosition="0"/>
    </format>
    <format dxfId="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5">
      <pivotArea type="all" dataOnly="0" outline="0" fieldPosition="0"/>
    </format>
    <format dxfId="4">
      <pivotArea outline="0" collapsedLevelsAreSubtotals="1" fieldPosition="0"/>
    </format>
    <format dxfId="3">
      <pivotArea field="0" type="button" dataOnly="0" labelOnly="1" outline="0" axis="axisRow" fieldPosition="0"/>
    </format>
    <format dxfId="2">
      <pivotArea dataOnly="0" labelOnly="1" fieldPosition="0">
        <references count="1">
          <reference field="0" count="0"/>
        </references>
      </pivotArea>
    </format>
    <format dxfId="1">
      <pivotArea dataOnly="0" labelOnly="1" grandRow="1" outline="0" fieldPosition="0"/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hartFormats count="16">
    <chartFormat chart="3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6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0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40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40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40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40" format="6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40" format="7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40" format="8">
      <pivotArea type="data" outline="0" fieldPosition="0">
        <references count="2">
          <reference field="4294967294" count="1" selected="0">
            <x v="1"/>
          </reference>
          <reference field="0" count="1" selected="0">
            <x v="0"/>
          </reference>
        </references>
      </pivotArea>
    </chartFormat>
    <chartFormat chart="40" format="9">
      <pivotArea type="data" outline="0" fieldPosition="0">
        <references count="2">
          <reference field="4294967294" count="1" selected="0">
            <x v="1"/>
          </reference>
          <reference field="0" count="1" selected="0">
            <x v="1"/>
          </reference>
        </references>
      </pivotArea>
    </chartFormat>
    <chartFormat chart="40" format="10">
      <pivotArea type="data" outline="0" fieldPosition="0">
        <references count="2">
          <reference field="4294967294" count="1" selected="0">
            <x v="1"/>
          </reference>
          <reference field="0" count="1" selected="0">
            <x v="2"/>
          </reference>
        </references>
      </pivotArea>
    </chartFormat>
    <chartFormat chart="40" format="11">
      <pivotArea type="data" outline="0" fieldPosition="0">
        <references count="2">
          <reference field="4294967294" count="1" selected="0">
            <x v="1"/>
          </reference>
          <reference field="0" count="1" selected="0">
            <x v="3"/>
          </reference>
        </references>
      </pivotArea>
    </chartFormat>
    <chartFormat chart="40" format="12">
      <pivotArea type="data" outline="0" fieldPosition="0">
        <references count="2">
          <reference field="4294967294" count="1" selected="0">
            <x v="1"/>
          </reference>
          <reference field="0" count="1" selected="0">
            <x v="4"/>
          </reference>
        </references>
      </pivotArea>
    </chartFormat>
    <chartFormat chart="40" format="13">
      <pivotArea type="data" outline="0" fieldPosition="0">
        <references count="2">
          <reference field="4294967294" count="1" selected="0">
            <x v="1"/>
          </reference>
          <reference field="0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eg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288DD8-3A20-414F-BC23-6355D6355085}">
  <dimension ref="A1:M301"/>
  <sheetViews>
    <sheetView tabSelected="1" workbookViewId="0">
      <selection activeCell="C9" sqref="C9"/>
    </sheetView>
  </sheetViews>
  <sheetFormatPr defaultRowHeight="14.4" x14ac:dyDescent="0.3"/>
  <cols>
    <col min="1" max="1" width="8.88671875" style="35"/>
    <col min="2" max="2" width="16.6640625" style="35" bestFit="1" customWidth="1"/>
    <col min="3" max="3" width="12.44140625" style="35" bestFit="1" customWidth="1"/>
    <col min="4" max="4" width="5.5546875" style="26" bestFit="1" customWidth="1"/>
    <col min="5" max="5" width="12.5546875" style="10" bestFit="1" customWidth="1"/>
    <col min="6" max="6" width="10.33203125" style="10" bestFit="1" customWidth="1"/>
    <col min="7" max="7" width="15" style="10" bestFit="1" customWidth="1"/>
    <col min="8" max="8" width="20" style="10" bestFit="1" customWidth="1"/>
    <col min="9" max="16384" width="8.88671875" style="10"/>
  </cols>
  <sheetData>
    <row r="1" spans="1:8" ht="15" thickBot="1" x14ac:dyDescent="0.35">
      <c r="A1" s="27" t="s">
        <v>8</v>
      </c>
      <c r="B1" s="28" t="s">
        <v>7</v>
      </c>
      <c r="C1" s="28" t="s">
        <v>6</v>
      </c>
      <c r="D1" s="22" t="s">
        <v>5</v>
      </c>
      <c r="E1" s="8" t="s">
        <v>4</v>
      </c>
      <c r="F1" s="8" t="s">
        <v>3</v>
      </c>
      <c r="G1" s="8" t="s">
        <v>2</v>
      </c>
      <c r="H1" s="9" t="s">
        <v>1</v>
      </c>
    </row>
    <row r="2" spans="1:8" x14ac:dyDescent="0.3">
      <c r="A2" s="29" t="s">
        <v>922</v>
      </c>
      <c r="B2" s="30" t="s">
        <v>271</v>
      </c>
      <c r="C2" s="30" t="s">
        <v>59</v>
      </c>
      <c r="D2" s="23">
        <v>39</v>
      </c>
      <c r="E2" s="11" t="s">
        <v>921</v>
      </c>
      <c r="F2" s="11" t="s">
        <v>920</v>
      </c>
      <c r="G2" s="12">
        <v>45200</v>
      </c>
      <c r="H2" s="13">
        <v>5</v>
      </c>
    </row>
    <row r="3" spans="1:8" x14ac:dyDescent="0.3">
      <c r="A3" s="31" t="s">
        <v>919</v>
      </c>
      <c r="B3" s="32" t="s">
        <v>918</v>
      </c>
      <c r="C3" s="32" t="s">
        <v>11</v>
      </c>
      <c r="D3" s="24">
        <v>24</v>
      </c>
      <c r="E3" s="14" t="s">
        <v>917</v>
      </c>
      <c r="F3" s="14" t="s">
        <v>649</v>
      </c>
      <c r="G3" s="15">
        <v>38100</v>
      </c>
      <c r="H3" s="16">
        <v>1</v>
      </c>
    </row>
    <row r="4" spans="1:8" x14ac:dyDescent="0.3">
      <c r="A4" s="31" t="s">
        <v>916</v>
      </c>
      <c r="B4" s="32" t="s">
        <v>915</v>
      </c>
      <c r="C4" s="32" t="s">
        <v>11</v>
      </c>
      <c r="D4" s="24">
        <v>36</v>
      </c>
      <c r="E4" s="14" t="s">
        <v>914</v>
      </c>
      <c r="F4" s="17"/>
      <c r="G4" s="15">
        <v>45400</v>
      </c>
      <c r="H4" s="16">
        <v>1</v>
      </c>
    </row>
    <row r="5" spans="1:8" x14ac:dyDescent="0.3">
      <c r="A5" s="31" t="s">
        <v>913</v>
      </c>
      <c r="B5" s="32" t="s">
        <v>141</v>
      </c>
      <c r="C5" s="32" t="s">
        <v>15</v>
      </c>
      <c r="D5" s="24">
        <v>39</v>
      </c>
      <c r="E5" s="14" t="s">
        <v>912</v>
      </c>
      <c r="F5" s="14" t="s">
        <v>911</v>
      </c>
      <c r="G5" s="15">
        <v>49100</v>
      </c>
      <c r="H5" s="16">
        <v>2</v>
      </c>
    </row>
    <row r="6" spans="1:8" x14ac:dyDescent="0.3">
      <c r="A6" s="31" t="s">
        <v>910</v>
      </c>
      <c r="B6" s="32" t="s">
        <v>498</v>
      </c>
      <c r="C6" s="32" t="s">
        <v>15</v>
      </c>
      <c r="D6" s="24">
        <v>38</v>
      </c>
      <c r="E6" s="14" t="s">
        <v>909</v>
      </c>
      <c r="F6" s="14" t="s">
        <v>908</v>
      </c>
      <c r="G6" s="15">
        <v>53900</v>
      </c>
      <c r="H6" s="16">
        <v>5</v>
      </c>
    </row>
    <row r="7" spans="1:8" x14ac:dyDescent="0.3">
      <c r="A7" s="31" t="s">
        <v>907</v>
      </c>
      <c r="B7" s="32" t="s">
        <v>906</v>
      </c>
      <c r="C7" s="32" t="s">
        <v>24</v>
      </c>
      <c r="D7" s="24">
        <v>40</v>
      </c>
      <c r="E7" s="14" t="s">
        <v>800</v>
      </c>
      <c r="F7" s="17"/>
      <c r="G7" s="15">
        <v>65300</v>
      </c>
      <c r="H7" s="16">
        <v>3</v>
      </c>
    </row>
    <row r="8" spans="1:8" x14ac:dyDescent="0.3">
      <c r="A8" s="31" t="s">
        <v>905</v>
      </c>
      <c r="B8" s="32" t="s">
        <v>693</v>
      </c>
      <c r="C8" s="32" t="s">
        <v>64</v>
      </c>
      <c r="D8" s="24">
        <v>36</v>
      </c>
      <c r="E8" s="14" t="s">
        <v>904</v>
      </c>
      <c r="F8" s="17"/>
      <c r="G8" s="15">
        <v>29900</v>
      </c>
      <c r="H8" s="16">
        <v>3</v>
      </c>
    </row>
    <row r="9" spans="1:8" x14ac:dyDescent="0.3">
      <c r="A9" s="31" t="s">
        <v>903</v>
      </c>
      <c r="B9" s="32" t="s">
        <v>902</v>
      </c>
      <c r="C9" s="32" t="s">
        <v>15</v>
      </c>
      <c r="D9" s="24">
        <v>51</v>
      </c>
      <c r="E9" s="14" t="s">
        <v>901</v>
      </c>
      <c r="F9" s="17"/>
      <c r="G9" s="15">
        <v>44900</v>
      </c>
      <c r="H9" s="16">
        <v>3</v>
      </c>
    </row>
    <row r="10" spans="1:8" x14ac:dyDescent="0.3">
      <c r="A10" s="31" t="s">
        <v>900</v>
      </c>
      <c r="B10" s="32" t="s">
        <v>899</v>
      </c>
      <c r="C10" s="32" t="s">
        <v>24</v>
      </c>
      <c r="D10" s="24">
        <v>32</v>
      </c>
      <c r="E10" s="14" t="s">
        <v>898</v>
      </c>
      <c r="F10" s="17"/>
      <c r="G10" s="15">
        <v>47900</v>
      </c>
      <c r="H10" s="16">
        <v>3</v>
      </c>
    </row>
    <row r="11" spans="1:8" x14ac:dyDescent="0.3">
      <c r="A11" s="31" t="s">
        <v>897</v>
      </c>
      <c r="B11" s="32" t="s">
        <v>896</v>
      </c>
      <c r="C11" s="32" t="s">
        <v>59</v>
      </c>
      <c r="D11" s="24">
        <v>42</v>
      </c>
      <c r="E11" s="14" t="s">
        <v>895</v>
      </c>
      <c r="F11" s="17"/>
      <c r="G11" s="15">
        <v>34500</v>
      </c>
      <c r="H11" s="16">
        <v>1</v>
      </c>
    </row>
    <row r="12" spans="1:8" x14ac:dyDescent="0.3">
      <c r="A12" s="31" t="s">
        <v>894</v>
      </c>
      <c r="B12" s="32" t="s">
        <v>893</v>
      </c>
      <c r="C12" s="32" t="s">
        <v>15</v>
      </c>
      <c r="D12" s="24">
        <v>26</v>
      </c>
      <c r="E12" s="14" t="s">
        <v>892</v>
      </c>
      <c r="F12" s="17"/>
      <c r="G12" s="15">
        <v>54600</v>
      </c>
      <c r="H12" s="16">
        <v>4</v>
      </c>
    </row>
    <row r="13" spans="1:8" x14ac:dyDescent="0.3">
      <c r="A13" s="31" t="s">
        <v>891</v>
      </c>
      <c r="B13" s="32" t="s">
        <v>31</v>
      </c>
      <c r="C13" s="32" t="s">
        <v>11</v>
      </c>
      <c r="D13" s="24">
        <v>51</v>
      </c>
      <c r="E13" s="14" t="s">
        <v>890</v>
      </c>
      <c r="F13" s="14" t="s">
        <v>889</v>
      </c>
      <c r="G13" s="15">
        <v>43900</v>
      </c>
      <c r="H13" s="16">
        <v>4</v>
      </c>
    </row>
    <row r="14" spans="1:8" x14ac:dyDescent="0.3">
      <c r="A14" s="31" t="s">
        <v>888</v>
      </c>
      <c r="B14" s="32" t="s">
        <v>610</v>
      </c>
      <c r="C14" s="32" t="s">
        <v>24</v>
      </c>
      <c r="D14" s="24">
        <v>47</v>
      </c>
      <c r="E14" s="14" t="s">
        <v>887</v>
      </c>
      <c r="F14" s="14" t="s">
        <v>886</v>
      </c>
      <c r="G14" s="15">
        <v>56200</v>
      </c>
      <c r="H14" s="16">
        <v>2</v>
      </c>
    </row>
    <row r="15" spans="1:8" x14ac:dyDescent="0.3">
      <c r="A15" s="31" t="s">
        <v>885</v>
      </c>
      <c r="B15" s="32" t="s">
        <v>245</v>
      </c>
      <c r="C15" s="32" t="s">
        <v>19</v>
      </c>
      <c r="D15" s="24">
        <v>32</v>
      </c>
      <c r="E15" s="14" t="s">
        <v>884</v>
      </c>
      <c r="F15" s="17"/>
      <c r="G15" s="15">
        <v>44300</v>
      </c>
      <c r="H15" s="16">
        <v>3</v>
      </c>
    </row>
    <row r="16" spans="1:8" x14ac:dyDescent="0.3">
      <c r="A16" s="31" t="s">
        <v>883</v>
      </c>
      <c r="B16" s="32" t="s">
        <v>882</v>
      </c>
      <c r="C16" s="32" t="s">
        <v>24</v>
      </c>
      <c r="D16" s="24">
        <v>38</v>
      </c>
      <c r="E16" s="14" t="s">
        <v>651</v>
      </c>
      <c r="F16" s="17"/>
      <c r="G16" s="15">
        <v>44300</v>
      </c>
      <c r="H16" s="16">
        <v>4</v>
      </c>
    </row>
    <row r="17" spans="1:13" x14ac:dyDescent="0.3">
      <c r="A17" s="31" t="s">
        <v>881</v>
      </c>
      <c r="B17" s="32" t="s">
        <v>880</v>
      </c>
      <c r="C17" s="32" t="s">
        <v>59</v>
      </c>
      <c r="D17" s="24">
        <v>43</v>
      </c>
      <c r="E17" s="14" t="s">
        <v>879</v>
      </c>
      <c r="F17" s="17"/>
      <c r="G17" s="15">
        <v>32800</v>
      </c>
      <c r="H17" s="16">
        <v>1</v>
      </c>
    </row>
    <row r="18" spans="1:13" x14ac:dyDescent="0.3">
      <c r="A18" s="31" t="s">
        <v>878</v>
      </c>
      <c r="B18" s="32" t="s">
        <v>877</v>
      </c>
      <c r="C18" s="32" t="s">
        <v>19</v>
      </c>
      <c r="D18" s="24">
        <v>54</v>
      </c>
      <c r="E18" s="14" t="s">
        <v>876</v>
      </c>
      <c r="F18" s="17"/>
      <c r="G18" s="15">
        <v>37200</v>
      </c>
      <c r="H18" s="16">
        <v>4</v>
      </c>
      <c r="M18" s="18"/>
    </row>
    <row r="19" spans="1:13" x14ac:dyDescent="0.3">
      <c r="A19" s="31" t="s">
        <v>875</v>
      </c>
      <c r="B19" s="32" t="s">
        <v>874</v>
      </c>
      <c r="C19" s="32" t="s">
        <v>19</v>
      </c>
      <c r="D19" s="24">
        <v>45</v>
      </c>
      <c r="E19" s="14" t="s">
        <v>873</v>
      </c>
      <c r="F19" s="14" t="s">
        <v>872</v>
      </c>
      <c r="G19" s="15">
        <v>52000</v>
      </c>
      <c r="H19" s="16">
        <v>4</v>
      </c>
    </row>
    <row r="20" spans="1:13" x14ac:dyDescent="0.3">
      <c r="A20" s="31" t="s">
        <v>871</v>
      </c>
      <c r="B20" s="32" t="s">
        <v>256</v>
      </c>
      <c r="C20" s="32" t="s">
        <v>64</v>
      </c>
      <c r="D20" s="24">
        <v>45</v>
      </c>
      <c r="E20" s="14" t="s">
        <v>870</v>
      </c>
      <c r="F20" s="17"/>
      <c r="G20" s="15">
        <v>33700</v>
      </c>
      <c r="H20" s="16">
        <v>3</v>
      </c>
    </row>
    <row r="21" spans="1:13" x14ac:dyDescent="0.3">
      <c r="A21" s="31" t="s">
        <v>869</v>
      </c>
      <c r="B21" s="32" t="s">
        <v>868</v>
      </c>
      <c r="C21" s="32" t="s">
        <v>64</v>
      </c>
      <c r="D21" s="24">
        <v>53</v>
      </c>
      <c r="E21" s="14" t="s">
        <v>867</v>
      </c>
      <c r="F21" s="14" t="s">
        <v>819</v>
      </c>
      <c r="G21" s="15">
        <v>40800</v>
      </c>
      <c r="H21" s="16">
        <v>2</v>
      </c>
    </row>
    <row r="22" spans="1:13" x14ac:dyDescent="0.3">
      <c r="A22" s="31" t="s">
        <v>866</v>
      </c>
      <c r="B22" s="32" t="s">
        <v>865</v>
      </c>
      <c r="C22" s="32" t="s">
        <v>19</v>
      </c>
      <c r="D22" s="24">
        <v>38</v>
      </c>
      <c r="E22" s="14" t="s">
        <v>864</v>
      </c>
      <c r="F22" s="17"/>
      <c r="G22" s="15">
        <v>40200</v>
      </c>
      <c r="H22" s="16">
        <v>3</v>
      </c>
    </row>
    <row r="23" spans="1:13" x14ac:dyDescent="0.3">
      <c r="A23" s="31" t="s">
        <v>863</v>
      </c>
      <c r="B23" s="32" t="s">
        <v>862</v>
      </c>
      <c r="C23" s="32" t="s">
        <v>59</v>
      </c>
      <c r="D23" s="24">
        <v>41</v>
      </c>
      <c r="E23" s="14" t="s">
        <v>861</v>
      </c>
      <c r="F23" s="17"/>
      <c r="G23" s="15">
        <v>44600</v>
      </c>
      <c r="H23" s="16">
        <v>3</v>
      </c>
    </row>
    <row r="24" spans="1:13" x14ac:dyDescent="0.3">
      <c r="A24" s="31" t="s">
        <v>860</v>
      </c>
      <c r="B24" s="32" t="s">
        <v>859</v>
      </c>
      <c r="C24" s="32" t="s">
        <v>64</v>
      </c>
      <c r="D24" s="24">
        <v>37</v>
      </c>
      <c r="E24" s="14" t="s">
        <v>858</v>
      </c>
      <c r="F24" s="14" t="s">
        <v>857</v>
      </c>
      <c r="G24" s="15">
        <v>42100</v>
      </c>
      <c r="H24" s="16">
        <v>3</v>
      </c>
    </row>
    <row r="25" spans="1:13" x14ac:dyDescent="0.3">
      <c r="A25" s="31" t="s">
        <v>856</v>
      </c>
      <c r="B25" s="32" t="s">
        <v>72</v>
      </c>
      <c r="C25" s="32" t="s">
        <v>64</v>
      </c>
      <c r="D25" s="24">
        <v>25</v>
      </c>
      <c r="E25" s="14" t="s">
        <v>855</v>
      </c>
      <c r="F25" s="14" t="s">
        <v>854</v>
      </c>
      <c r="G25" s="15">
        <v>48600</v>
      </c>
      <c r="H25" s="16">
        <v>2</v>
      </c>
    </row>
    <row r="26" spans="1:13" x14ac:dyDescent="0.3">
      <c r="A26" s="31" t="s">
        <v>853</v>
      </c>
      <c r="B26" s="32" t="s">
        <v>783</v>
      </c>
      <c r="C26" s="32" t="s">
        <v>59</v>
      </c>
      <c r="D26" s="24">
        <v>53</v>
      </c>
      <c r="E26" s="14" t="s">
        <v>852</v>
      </c>
      <c r="F26" s="17"/>
      <c r="G26" s="15">
        <v>46400</v>
      </c>
      <c r="H26" s="16">
        <v>5</v>
      </c>
    </row>
    <row r="27" spans="1:13" x14ac:dyDescent="0.3">
      <c r="A27" s="31" t="s">
        <v>851</v>
      </c>
      <c r="B27" s="32" t="s">
        <v>850</v>
      </c>
      <c r="C27" s="32" t="s">
        <v>19</v>
      </c>
      <c r="D27" s="24">
        <v>52</v>
      </c>
      <c r="E27" s="14" t="s">
        <v>849</v>
      </c>
      <c r="F27" s="17"/>
      <c r="G27" s="15">
        <v>32300</v>
      </c>
      <c r="H27" s="16">
        <v>4</v>
      </c>
    </row>
    <row r="28" spans="1:13" x14ac:dyDescent="0.3">
      <c r="A28" s="31" t="s">
        <v>848</v>
      </c>
      <c r="B28" s="32" t="s">
        <v>663</v>
      </c>
      <c r="C28" s="32" t="s">
        <v>11</v>
      </c>
      <c r="D28" s="24">
        <v>51</v>
      </c>
      <c r="E28" s="14" t="s">
        <v>847</v>
      </c>
      <c r="F28" s="14" t="s">
        <v>846</v>
      </c>
      <c r="G28" s="15">
        <v>49600</v>
      </c>
      <c r="H28" s="16">
        <v>2</v>
      </c>
    </row>
    <row r="29" spans="1:13" x14ac:dyDescent="0.3">
      <c r="A29" s="31" t="s">
        <v>845</v>
      </c>
      <c r="B29" s="32" t="s">
        <v>844</v>
      </c>
      <c r="C29" s="32" t="s">
        <v>64</v>
      </c>
      <c r="D29" s="24">
        <v>37</v>
      </c>
      <c r="E29" s="14" t="s">
        <v>843</v>
      </c>
      <c r="F29" s="14" t="s">
        <v>842</v>
      </c>
      <c r="G29" s="15">
        <v>31400</v>
      </c>
      <c r="H29" s="16">
        <v>3</v>
      </c>
    </row>
    <row r="30" spans="1:13" x14ac:dyDescent="0.3">
      <c r="A30" s="31" t="s">
        <v>841</v>
      </c>
      <c r="B30" s="32" t="s">
        <v>840</v>
      </c>
      <c r="C30" s="32" t="s">
        <v>64</v>
      </c>
      <c r="D30" s="24">
        <v>50</v>
      </c>
      <c r="E30" s="14" t="s">
        <v>839</v>
      </c>
      <c r="F30" s="17"/>
      <c r="G30" s="15">
        <v>41200</v>
      </c>
      <c r="H30" s="16">
        <v>2</v>
      </c>
    </row>
    <row r="31" spans="1:13" x14ac:dyDescent="0.3">
      <c r="A31" s="31" t="s">
        <v>838</v>
      </c>
      <c r="B31" s="32" t="s">
        <v>837</v>
      </c>
      <c r="C31" s="32" t="s">
        <v>64</v>
      </c>
      <c r="D31" s="24">
        <v>37</v>
      </c>
      <c r="E31" s="14" t="s">
        <v>836</v>
      </c>
      <c r="F31" s="17"/>
      <c r="G31" s="15">
        <v>39600</v>
      </c>
      <c r="H31" s="16">
        <v>5</v>
      </c>
    </row>
    <row r="32" spans="1:13" x14ac:dyDescent="0.3">
      <c r="A32" s="31" t="s">
        <v>835</v>
      </c>
      <c r="B32" s="32" t="s">
        <v>834</v>
      </c>
      <c r="C32" s="32" t="s">
        <v>11</v>
      </c>
      <c r="D32" s="24">
        <v>22</v>
      </c>
      <c r="E32" s="14" t="s">
        <v>314</v>
      </c>
      <c r="F32" s="14" t="s">
        <v>833</v>
      </c>
      <c r="G32" s="15">
        <v>32800</v>
      </c>
      <c r="H32" s="16">
        <v>4</v>
      </c>
    </row>
    <row r="33" spans="1:8" x14ac:dyDescent="0.3">
      <c r="A33" s="31" t="s">
        <v>832</v>
      </c>
      <c r="B33" s="32" t="s">
        <v>103</v>
      </c>
      <c r="C33" s="32" t="s">
        <v>19</v>
      </c>
      <c r="D33" s="24">
        <v>34</v>
      </c>
      <c r="E33" s="14" t="s">
        <v>831</v>
      </c>
      <c r="F33" s="14" t="s">
        <v>830</v>
      </c>
      <c r="G33" s="15">
        <v>43900</v>
      </c>
      <c r="H33" s="16">
        <v>4</v>
      </c>
    </row>
    <row r="34" spans="1:8" x14ac:dyDescent="0.3">
      <c r="A34" s="31" t="s">
        <v>829</v>
      </c>
      <c r="B34" s="32" t="s">
        <v>828</v>
      </c>
      <c r="C34" s="32" t="s">
        <v>64</v>
      </c>
      <c r="D34" s="24">
        <v>52</v>
      </c>
      <c r="E34" s="14" t="s">
        <v>827</v>
      </c>
      <c r="F34" s="17"/>
      <c r="G34" s="15">
        <v>40700</v>
      </c>
      <c r="H34" s="16">
        <v>2</v>
      </c>
    </row>
    <row r="35" spans="1:8" x14ac:dyDescent="0.3">
      <c r="A35" s="31" t="s">
        <v>826</v>
      </c>
      <c r="B35" s="32" t="s">
        <v>825</v>
      </c>
      <c r="C35" s="32" t="s">
        <v>19</v>
      </c>
      <c r="D35" s="24">
        <v>26</v>
      </c>
      <c r="E35" s="14" t="s">
        <v>824</v>
      </c>
      <c r="F35" s="14" t="s">
        <v>823</v>
      </c>
      <c r="G35" s="15">
        <v>39700</v>
      </c>
      <c r="H35" s="16">
        <v>5</v>
      </c>
    </row>
    <row r="36" spans="1:8" x14ac:dyDescent="0.3">
      <c r="A36" s="31" t="s">
        <v>822</v>
      </c>
      <c r="B36" s="32" t="s">
        <v>821</v>
      </c>
      <c r="C36" s="32" t="s">
        <v>24</v>
      </c>
      <c r="D36" s="24">
        <v>24</v>
      </c>
      <c r="E36" s="14" t="s">
        <v>820</v>
      </c>
      <c r="F36" s="14" t="s">
        <v>819</v>
      </c>
      <c r="G36" s="15">
        <v>57600</v>
      </c>
      <c r="H36" s="16">
        <v>3</v>
      </c>
    </row>
    <row r="37" spans="1:8" x14ac:dyDescent="0.3">
      <c r="A37" s="31" t="s">
        <v>818</v>
      </c>
      <c r="B37" s="32" t="s">
        <v>817</v>
      </c>
      <c r="C37" s="32" t="s">
        <v>59</v>
      </c>
      <c r="D37" s="24">
        <v>42</v>
      </c>
      <c r="E37" s="14" t="s">
        <v>702</v>
      </c>
      <c r="F37" s="14" t="s">
        <v>484</v>
      </c>
      <c r="G37" s="15">
        <v>45100</v>
      </c>
      <c r="H37" s="16">
        <v>3</v>
      </c>
    </row>
    <row r="38" spans="1:8" x14ac:dyDescent="0.3">
      <c r="A38" s="31" t="s">
        <v>816</v>
      </c>
      <c r="B38" s="32" t="s">
        <v>815</v>
      </c>
      <c r="C38" s="32" t="s">
        <v>64</v>
      </c>
      <c r="D38" s="24">
        <v>51</v>
      </c>
      <c r="E38" s="14" t="s">
        <v>814</v>
      </c>
      <c r="F38" s="17"/>
      <c r="G38" s="15">
        <v>51900</v>
      </c>
      <c r="H38" s="16">
        <v>2</v>
      </c>
    </row>
    <row r="39" spans="1:8" x14ac:dyDescent="0.3">
      <c r="A39" s="31" t="s">
        <v>813</v>
      </c>
      <c r="B39" s="32" t="s">
        <v>812</v>
      </c>
      <c r="C39" s="32" t="s">
        <v>15</v>
      </c>
      <c r="D39" s="24">
        <v>30</v>
      </c>
      <c r="E39" s="14" t="s">
        <v>811</v>
      </c>
      <c r="F39" s="17"/>
      <c r="G39" s="15">
        <v>62100</v>
      </c>
      <c r="H39" s="16">
        <v>3</v>
      </c>
    </row>
    <row r="40" spans="1:8" x14ac:dyDescent="0.3">
      <c r="A40" s="31" t="s">
        <v>810</v>
      </c>
      <c r="B40" s="32" t="s">
        <v>356</v>
      </c>
      <c r="C40" s="32" t="s">
        <v>24</v>
      </c>
      <c r="D40" s="24">
        <v>41</v>
      </c>
      <c r="E40" s="14" t="s">
        <v>809</v>
      </c>
      <c r="F40" s="17"/>
      <c r="G40" s="15">
        <v>63400</v>
      </c>
      <c r="H40" s="16">
        <v>4</v>
      </c>
    </row>
    <row r="41" spans="1:8" x14ac:dyDescent="0.3">
      <c r="A41" s="31" t="s">
        <v>808</v>
      </c>
      <c r="B41" s="32" t="s">
        <v>807</v>
      </c>
      <c r="C41" s="32" t="s">
        <v>59</v>
      </c>
      <c r="D41" s="24">
        <v>28</v>
      </c>
      <c r="E41" s="14" t="s">
        <v>806</v>
      </c>
      <c r="F41" s="14" t="s">
        <v>805</v>
      </c>
      <c r="G41" s="15">
        <v>46800</v>
      </c>
      <c r="H41" s="16">
        <v>3</v>
      </c>
    </row>
    <row r="42" spans="1:8" x14ac:dyDescent="0.3">
      <c r="A42" s="31" t="s">
        <v>804</v>
      </c>
      <c r="B42" s="32" t="s">
        <v>803</v>
      </c>
      <c r="C42" s="32" t="s">
        <v>19</v>
      </c>
      <c r="D42" s="24">
        <v>43</v>
      </c>
      <c r="E42" s="14" t="s">
        <v>802</v>
      </c>
      <c r="F42" s="17"/>
      <c r="G42" s="15">
        <v>50500</v>
      </c>
      <c r="H42" s="16">
        <v>4</v>
      </c>
    </row>
    <row r="43" spans="1:8" x14ac:dyDescent="0.3">
      <c r="A43" s="31" t="s">
        <v>801</v>
      </c>
      <c r="B43" s="32" t="s">
        <v>482</v>
      </c>
      <c r="C43" s="32" t="s">
        <v>64</v>
      </c>
      <c r="D43" s="24">
        <v>49</v>
      </c>
      <c r="E43" s="14" t="s">
        <v>800</v>
      </c>
      <c r="F43" s="14" t="s">
        <v>799</v>
      </c>
      <c r="G43" s="15">
        <v>36000</v>
      </c>
      <c r="H43" s="16">
        <v>2</v>
      </c>
    </row>
    <row r="44" spans="1:8" x14ac:dyDescent="0.3">
      <c r="A44" s="31" t="s">
        <v>798</v>
      </c>
      <c r="B44" s="32" t="s">
        <v>486</v>
      </c>
      <c r="C44" s="32" t="s">
        <v>59</v>
      </c>
      <c r="D44" s="24">
        <v>50</v>
      </c>
      <c r="E44" s="14" t="s">
        <v>797</v>
      </c>
      <c r="F44" s="17"/>
      <c r="G44" s="15">
        <v>42500</v>
      </c>
      <c r="H44" s="16">
        <v>2</v>
      </c>
    </row>
    <row r="45" spans="1:8" x14ac:dyDescent="0.3">
      <c r="A45" s="31" t="s">
        <v>796</v>
      </c>
      <c r="B45" s="32" t="s">
        <v>795</v>
      </c>
      <c r="C45" s="32" t="s">
        <v>64</v>
      </c>
      <c r="D45" s="24">
        <v>45</v>
      </c>
      <c r="E45" s="14" t="s">
        <v>794</v>
      </c>
      <c r="F45" s="17"/>
      <c r="G45" s="15">
        <v>38300</v>
      </c>
      <c r="H45" s="16">
        <v>1</v>
      </c>
    </row>
    <row r="46" spans="1:8" x14ac:dyDescent="0.3">
      <c r="A46" s="31" t="s">
        <v>793</v>
      </c>
      <c r="B46" s="32" t="s">
        <v>792</v>
      </c>
      <c r="C46" s="32" t="s">
        <v>15</v>
      </c>
      <c r="D46" s="24">
        <v>35</v>
      </c>
      <c r="E46" s="14" t="s">
        <v>791</v>
      </c>
      <c r="F46" s="14" t="s">
        <v>790</v>
      </c>
      <c r="G46" s="15">
        <v>49500</v>
      </c>
      <c r="H46" s="16">
        <v>4</v>
      </c>
    </row>
    <row r="47" spans="1:8" x14ac:dyDescent="0.3">
      <c r="A47" s="31" t="s">
        <v>789</v>
      </c>
      <c r="B47" s="32" t="s">
        <v>65</v>
      </c>
      <c r="C47" s="32" t="s">
        <v>59</v>
      </c>
      <c r="D47" s="24">
        <v>31</v>
      </c>
      <c r="E47" s="14" t="s">
        <v>788</v>
      </c>
      <c r="F47" s="17"/>
      <c r="G47" s="15">
        <v>52400</v>
      </c>
      <c r="H47" s="16">
        <v>4</v>
      </c>
    </row>
    <row r="48" spans="1:8" x14ac:dyDescent="0.3">
      <c r="A48" s="31" t="s">
        <v>787</v>
      </c>
      <c r="B48" s="32" t="s">
        <v>786</v>
      </c>
      <c r="C48" s="32" t="s">
        <v>19</v>
      </c>
      <c r="D48" s="24">
        <v>43</v>
      </c>
      <c r="E48" s="14" t="s">
        <v>785</v>
      </c>
      <c r="F48" s="17"/>
      <c r="G48" s="15">
        <v>49300</v>
      </c>
      <c r="H48" s="16">
        <v>5</v>
      </c>
    </row>
    <row r="49" spans="1:8" x14ac:dyDescent="0.3">
      <c r="A49" s="31" t="s">
        <v>784</v>
      </c>
      <c r="B49" s="32" t="s">
        <v>783</v>
      </c>
      <c r="C49" s="32" t="s">
        <v>19</v>
      </c>
      <c r="D49" s="24">
        <v>28</v>
      </c>
      <c r="E49" s="14" t="s">
        <v>782</v>
      </c>
      <c r="F49" s="17"/>
      <c r="G49" s="15">
        <v>50600</v>
      </c>
      <c r="H49" s="16">
        <v>3</v>
      </c>
    </row>
    <row r="50" spans="1:8" x14ac:dyDescent="0.3">
      <c r="A50" s="31" t="s">
        <v>781</v>
      </c>
      <c r="B50" s="32" t="s">
        <v>780</v>
      </c>
      <c r="C50" s="32" t="s">
        <v>15</v>
      </c>
      <c r="D50" s="24">
        <v>36</v>
      </c>
      <c r="E50" s="14" t="s">
        <v>779</v>
      </c>
      <c r="F50" s="14" t="s">
        <v>778</v>
      </c>
      <c r="G50" s="15">
        <v>50600</v>
      </c>
      <c r="H50" s="16">
        <v>3</v>
      </c>
    </row>
    <row r="51" spans="1:8" x14ac:dyDescent="0.3">
      <c r="A51" s="31" t="s">
        <v>777</v>
      </c>
      <c r="B51" s="32" t="s">
        <v>776</v>
      </c>
      <c r="C51" s="32" t="s">
        <v>15</v>
      </c>
      <c r="D51" s="24">
        <v>54</v>
      </c>
      <c r="E51" s="14" t="s">
        <v>775</v>
      </c>
      <c r="F51" s="17"/>
      <c r="G51" s="15">
        <v>61200</v>
      </c>
      <c r="H51" s="16">
        <v>3</v>
      </c>
    </row>
    <row r="52" spans="1:8" x14ac:dyDescent="0.3">
      <c r="A52" s="31" t="s">
        <v>774</v>
      </c>
      <c r="B52" s="32" t="s">
        <v>773</v>
      </c>
      <c r="C52" s="32" t="s">
        <v>15</v>
      </c>
      <c r="D52" s="24">
        <v>33</v>
      </c>
      <c r="E52" s="14" t="s">
        <v>772</v>
      </c>
      <c r="F52" s="17"/>
      <c r="G52" s="15">
        <v>47400</v>
      </c>
      <c r="H52" s="16">
        <v>2</v>
      </c>
    </row>
    <row r="53" spans="1:8" x14ac:dyDescent="0.3">
      <c r="A53" s="31" t="s">
        <v>771</v>
      </c>
      <c r="B53" s="32" t="s">
        <v>770</v>
      </c>
      <c r="C53" s="32" t="s">
        <v>59</v>
      </c>
      <c r="D53" s="24">
        <v>42</v>
      </c>
      <c r="E53" s="14" t="s">
        <v>769</v>
      </c>
      <c r="F53" s="17"/>
      <c r="G53" s="15">
        <v>41300</v>
      </c>
      <c r="H53" s="16">
        <v>3</v>
      </c>
    </row>
    <row r="54" spans="1:8" x14ac:dyDescent="0.3">
      <c r="A54" s="31" t="s">
        <v>768</v>
      </c>
      <c r="B54" s="32" t="s">
        <v>767</v>
      </c>
      <c r="C54" s="32" t="s">
        <v>15</v>
      </c>
      <c r="D54" s="24">
        <v>24</v>
      </c>
      <c r="E54" s="14" t="s">
        <v>766</v>
      </c>
      <c r="F54" s="17"/>
      <c r="G54" s="15">
        <v>53500</v>
      </c>
      <c r="H54" s="16">
        <v>4</v>
      </c>
    </row>
    <row r="55" spans="1:8" x14ac:dyDescent="0.3">
      <c r="A55" s="31" t="s">
        <v>765</v>
      </c>
      <c r="B55" s="32" t="s">
        <v>350</v>
      </c>
      <c r="C55" s="32" t="s">
        <v>11</v>
      </c>
      <c r="D55" s="24">
        <v>26</v>
      </c>
      <c r="E55" s="14" t="s">
        <v>764</v>
      </c>
      <c r="F55" s="17"/>
      <c r="G55" s="15">
        <v>41000</v>
      </c>
      <c r="H55" s="16">
        <v>4</v>
      </c>
    </row>
    <row r="56" spans="1:8" x14ac:dyDescent="0.3">
      <c r="A56" s="31" t="s">
        <v>763</v>
      </c>
      <c r="B56" s="32" t="s">
        <v>762</v>
      </c>
      <c r="C56" s="32" t="s">
        <v>24</v>
      </c>
      <c r="D56" s="24">
        <v>41</v>
      </c>
      <c r="E56" s="14" t="s">
        <v>761</v>
      </c>
      <c r="F56" s="17"/>
      <c r="G56" s="15">
        <v>53700</v>
      </c>
      <c r="H56" s="16">
        <v>3</v>
      </c>
    </row>
    <row r="57" spans="1:8" x14ac:dyDescent="0.3">
      <c r="A57" s="31" t="s">
        <v>760</v>
      </c>
      <c r="B57" s="32" t="s">
        <v>759</v>
      </c>
      <c r="C57" s="32" t="s">
        <v>11</v>
      </c>
      <c r="D57" s="24">
        <v>46</v>
      </c>
      <c r="E57" s="14" t="s">
        <v>758</v>
      </c>
      <c r="F57" s="17"/>
      <c r="G57" s="15">
        <v>30200</v>
      </c>
      <c r="H57" s="16">
        <v>4</v>
      </c>
    </row>
    <row r="58" spans="1:8" x14ac:dyDescent="0.3">
      <c r="A58" s="31" t="s">
        <v>757</v>
      </c>
      <c r="B58" s="32" t="s">
        <v>517</v>
      </c>
      <c r="C58" s="32" t="s">
        <v>64</v>
      </c>
      <c r="D58" s="24">
        <v>41</v>
      </c>
      <c r="E58" s="14" t="s">
        <v>81</v>
      </c>
      <c r="F58" s="14" t="s">
        <v>756</v>
      </c>
      <c r="G58" s="15">
        <v>42600</v>
      </c>
      <c r="H58" s="16">
        <v>3</v>
      </c>
    </row>
    <row r="59" spans="1:8" x14ac:dyDescent="0.3">
      <c r="A59" s="31" t="s">
        <v>755</v>
      </c>
      <c r="B59" s="32" t="s">
        <v>754</v>
      </c>
      <c r="C59" s="32" t="s">
        <v>59</v>
      </c>
      <c r="D59" s="24">
        <v>35</v>
      </c>
      <c r="E59" s="14" t="s">
        <v>753</v>
      </c>
      <c r="F59" s="17"/>
      <c r="G59" s="15">
        <v>50600</v>
      </c>
      <c r="H59" s="16">
        <v>4</v>
      </c>
    </row>
    <row r="60" spans="1:8" x14ac:dyDescent="0.3">
      <c r="A60" s="31" t="s">
        <v>752</v>
      </c>
      <c r="B60" s="32" t="s">
        <v>751</v>
      </c>
      <c r="C60" s="32" t="s">
        <v>15</v>
      </c>
      <c r="D60" s="24">
        <v>54</v>
      </c>
      <c r="E60" s="14" t="s">
        <v>750</v>
      </c>
      <c r="F60" s="17"/>
      <c r="G60" s="15">
        <v>49000</v>
      </c>
      <c r="H60" s="16">
        <v>4</v>
      </c>
    </row>
    <row r="61" spans="1:8" x14ac:dyDescent="0.3">
      <c r="A61" s="31" t="s">
        <v>749</v>
      </c>
      <c r="B61" s="32" t="s">
        <v>748</v>
      </c>
      <c r="C61" s="32" t="s">
        <v>19</v>
      </c>
      <c r="D61" s="24">
        <v>34</v>
      </c>
      <c r="E61" s="14" t="s">
        <v>340</v>
      </c>
      <c r="F61" s="14" t="s">
        <v>747</v>
      </c>
      <c r="G61" s="15">
        <v>53600</v>
      </c>
      <c r="H61" s="16">
        <v>4</v>
      </c>
    </row>
    <row r="62" spans="1:8" x14ac:dyDescent="0.3">
      <c r="A62" s="31" t="s">
        <v>746</v>
      </c>
      <c r="B62" s="32" t="s">
        <v>265</v>
      </c>
      <c r="C62" s="32" t="s">
        <v>11</v>
      </c>
      <c r="D62" s="24">
        <v>58</v>
      </c>
      <c r="E62" s="14" t="s">
        <v>745</v>
      </c>
      <c r="F62" s="17"/>
      <c r="G62" s="15">
        <v>35200</v>
      </c>
      <c r="H62" s="16">
        <v>3</v>
      </c>
    </row>
    <row r="63" spans="1:8" x14ac:dyDescent="0.3">
      <c r="A63" s="31" t="s">
        <v>744</v>
      </c>
      <c r="B63" s="32" t="s">
        <v>16</v>
      </c>
      <c r="C63" s="32" t="s">
        <v>64</v>
      </c>
      <c r="D63" s="24">
        <v>49</v>
      </c>
      <c r="E63" s="14" t="s">
        <v>743</v>
      </c>
      <c r="F63" s="14" t="s">
        <v>742</v>
      </c>
      <c r="G63" s="15">
        <v>40400</v>
      </c>
      <c r="H63" s="16">
        <v>2</v>
      </c>
    </row>
    <row r="64" spans="1:8" x14ac:dyDescent="0.3">
      <c r="A64" s="31" t="s">
        <v>741</v>
      </c>
      <c r="B64" s="32" t="s">
        <v>740</v>
      </c>
      <c r="C64" s="32" t="s">
        <v>11</v>
      </c>
      <c r="D64" s="24">
        <v>30</v>
      </c>
      <c r="E64" s="14" t="s">
        <v>739</v>
      </c>
      <c r="F64" s="17"/>
      <c r="G64" s="15">
        <v>38700</v>
      </c>
      <c r="H64" s="16">
        <v>4</v>
      </c>
    </row>
    <row r="65" spans="1:8" x14ac:dyDescent="0.3">
      <c r="A65" s="31" t="s">
        <v>738</v>
      </c>
      <c r="B65" s="32" t="s">
        <v>737</v>
      </c>
      <c r="C65" s="32" t="s">
        <v>24</v>
      </c>
      <c r="D65" s="24">
        <v>54</v>
      </c>
      <c r="E65" s="14" t="s">
        <v>736</v>
      </c>
      <c r="F65" s="17"/>
      <c r="G65" s="15">
        <v>57100</v>
      </c>
      <c r="H65" s="16">
        <v>5</v>
      </c>
    </row>
    <row r="66" spans="1:8" x14ac:dyDescent="0.3">
      <c r="A66" s="31" t="s">
        <v>735</v>
      </c>
      <c r="B66" s="32" t="s">
        <v>330</v>
      </c>
      <c r="C66" s="32" t="s">
        <v>15</v>
      </c>
      <c r="D66" s="24">
        <v>37</v>
      </c>
      <c r="E66" s="14" t="s">
        <v>734</v>
      </c>
      <c r="F66" s="14" t="s">
        <v>733</v>
      </c>
      <c r="G66" s="15">
        <v>52600</v>
      </c>
      <c r="H66" s="16">
        <v>3</v>
      </c>
    </row>
    <row r="67" spans="1:8" x14ac:dyDescent="0.3">
      <c r="A67" s="31" t="s">
        <v>732</v>
      </c>
      <c r="B67" s="32" t="s">
        <v>731</v>
      </c>
      <c r="C67" s="32" t="s">
        <v>59</v>
      </c>
      <c r="D67" s="24">
        <v>40</v>
      </c>
      <c r="E67" s="14" t="s">
        <v>730</v>
      </c>
      <c r="F67" s="14" t="s">
        <v>729</v>
      </c>
      <c r="G67" s="15">
        <v>50400</v>
      </c>
      <c r="H67" s="16">
        <v>2</v>
      </c>
    </row>
    <row r="68" spans="1:8" x14ac:dyDescent="0.3">
      <c r="A68" s="31" t="s">
        <v>728</v>
      </c>
      <c r="B68" s="32" t="s">
        <v>401</v>
      </c>
      <c r="C68" s="32" t="s">
        <v>11</v>
      </c>
      <c r="D68" s="24">
        <v>31</v>
      </c>
      <c r="E68" s="14" t="s">
        <v>727</v>
      </c>
      <c r="F68" s="14" t="s">
        <v>726</v>
      </c>
      <c r="G68" s="15">
        <v>35800</v>
      </c>
      <c r="H68" s="16">
        <v>4</v>
      </c>
    </row>
    <row r="69" spans="1:8" x14ac:dyDescent="0.3">
      <c r="A69" s="31" t="s">
        <v>725</v>
      </c>
      <c r="B69" s="32" t="s">
        <v>724</v>
      </c>
      <c r="C69" s="32" t="s">
        <v>19</v>
      </c>
      <c r="D69" s="24">
        <v>48</v>
      </c>
      <c r="E69" s="14" t="s">
        <v>723</v>
      </c>
      <c r="F69" s="17"/>
      <c r="G69" s="15">
        <v>44000</v>
      </c>
      <c r="H69" s="16">
        <v>4</v>
      </c>
    </row>
    <row r="70" spans="1:8" x14ac:dyDescent="0.3">
      <c r="A70" s="31" t="s">
        <v>722</v>
      </c>
      <c r="B70" s="32" t="s">
        <v>413</v>
      </c>
      <c r="C70" s="32" t="s">
        <v>11</v>
      </c>
      <c r="D70" s="24">
        <v>22</v>
      </c>
      <c r="E70" s="14" t="s">
        <v>451</v>
      </c>
      <c r="F70" s="17"/>
      <c r="G70" s="15">
        <v>35400</v>
      </c>
      <c r="H70" s="16">
        <v>5</v>
      </c>
    </row>
    <row r="71" spans="1:8" x14ac:dyDescent="0.3">
      <c r="A71" s="31" t="s">
        <v>721</v>
      </c>
      <c r="B71" s="32" t="s">
        <v>720</v>
      </c>
      <c r="C71" s="32" t="s">
        <v>59</v>
      </c>
      <c r="D71" s="24">
        <v>56</v>
      </c>
      <c r="E71" s="14" t="s">
        <v>719</v>
      </c>
      <c r="F71" s="17"/>
      <c r="G71" s="15">
        <v>34300</v>
      </c>
      <c r="H71" s="16">
        <v>3</v>
      </c>
    </row>
    <row r="72" spans="1:8" x14ac:dyDescent="0.3">
      <c r="A72" s="31" t="s">
        <v>718</v>
      </c>
      <c r="B72" s="32" t="s">
        <v>717</v>
      </c>
      <c r="C72" s="32" t="s">
        <v>64</v>
      </c>
      <c r="D72" s="24">
        <v>46</v>
      </c>
      <c r="E72" s="14" t="s">
        <v>716</v>
      </c>
      <c r="F72" s="17"/>
      <c r="G72" s="15">
        <v>47200</v>
      </c>
      <c r="H72" s="16">
        <v>4</v>
      </c>
    </row>
    <row r="73" spans="1:8" x14ac:dyDescent="0.3">
      <c r="A73" s="31" t="s">
        <v>715</v>
      </c>
      <c r="B73" s="32" t="s">
        <v>684</v>
      </c>
      <c r="C73" s="32" t="s">
        <v>24</v>
      </c>
      <c r="D73" s="24">
        <v>56</v>
      </c>
      <c r="E73" s="14" t="s">
        <v>714</v>
      </c>
      <c r="F73" s="17"/>
      <c r="G73" s="15">
        <v>58200</v>
      </c>
      <c r="H73" s="16">
        <v>4</v>
      </c>
    </row>
    <row r="74" spans="1:8" x14ac:dyDescent="0.3">
      <c r="A74" s="31" t="s">
        <v>713</v>
      </c>
      <c r="B74" s="32" t="s">
        <v>292</v>
      </c>
      <c r="C74" s="32" t="s">
        <v>19</v>
      </c>
      <c r="D74" s="24">
        <v>51</v>
      </c>
      <c r="E74" s="14" t="s">
        <v>712</v>
      </c>
      <c r="F74" s="14" t="s">
        <v>711</v>
      </c>
      <c r="G74" s="15">
        <v>37900</v>
      </c>
      <c r="H74" s="16">
        <v>3</v>
      </c>
    </row>
    <row r="75" spans="1:8" x14ac:dyDescent="0.3">
      <c r="A75" s="31" t="s">
        <v>710</v>
      </c>
      <c r="B75" s="32" t="s">
        <v>709</v>
      </c>
      <c r="C75" s="32" t="s">
        <v>15</v>
      </c>
      <c r="D75" s="24">
        <v>48</v>
      </c>
      <c r="E75" s="14" t="s">
        <v>708</v>
      </c>
      <c r="F75" s="17"/>
      <c r="G75" s="15">
        <v>52300</v>
      </c>
      <c r="H75" s="16">
        <v>4</v>
      </c>
    </row>
    <row r="76" spans="1:8" x14ac:dyDescent="0.3">
      <c r="A76" s="31" t="s">
        <v>707</v>
      </c>
      <c r="B76" s="32" t="s">
        <v>706</v>
      </c>
      <c r="C76" s="32" t="s">
        <v>19</v>
      </c>
      <c r="D76" s="24">
        <v>26</v>
      </c>
      <c r="E76" s="14" t="s">
        <v>705</v>
      </c>
      <c r="F76" s="17"/>
      <c r="G76" s="15">
        <v>31000</v>
      </c>
      <c r="H76" s="16">
        <v>1</v>
      </c>
    </row>
    <row r="77" spans="1:8" x14ac:dyDescent="0.3">
      <c r="A77" s="31" t="s">
        <v>704</v>
      </c>
      <c r="B77" s="32" t="s">
        <v>703</v>
      </c>
      <c r="C77" s="32" t="s">
        <v>64</v>
      </c>
      <c r="D77" s="24">
        <v>31</v>
      </c>
      <c r="E77" s="14" t="s">
        <v>702</v>
      </c>
      <c r="F77" s="14" t="s">
        <v>701</v>
      </c>
      <c r="G77" s="15">
        <v>30700</v>
      </c>
      <c r="H77" s="16">
        <v>5</v>
      </c>
    </row>
    <row r="78" spans="1:8" x14ac:dyDescent="0.3">
      <c r="A78" s="31" t="s">
        <v>700</v>
      </c>
      <c r="B78" s="32" t="s">
        <v>699</v>
      </c>
      <c r="C78" s="32" t="s">
        <v>15</v>
      </c>
      <c r="D78" s="24">
        <v>32</v>
      </c>
      <c r="E78" s="14" t="s">
        <v>698</v>
      </c>
      <c r="F78" s="17"/>
      <c r="G78" s="15">
        <v>59000</v>
      </c>
      <c r="H78" s="16">
        <v>2</v>
      </c>
    </row>
    <row r="79" spans="1:8" x14ac:dyDescent="0.3">
      <c r="A79" s="31" t="s">
        <v>697</v>
      </c>
      <c r="B79" s="32" t="s">
        <v>696</v>
      </c>
      <c r="C79" s="32" t="s">
        <v>64</v>
      </c>
      <c r="D79" s="24">
        <v>23</v>
      </c>
      <c r="E79" s="14" t="s">
        <v>695</v>
      </c>
      <c r="F79" s="17"/>
      <c r="G79" s="15">
        <v>49800</v>
      </c>
      <c r="H79" s="16">
        <v>3</v>
      </c>
    </row>
    <row r="80" spans="1:8" x14ac:dyDescent="0.3">
      <c r="A80" s="31" t="s">
        <v>694</v>
      </c>
      <c r="B80" s="32" t="s">
        <v>693</v>
      </c>
      <c r="C80" s="32" t="s">
        <v>24</v>
      </c>
      <c r="D80" s="24">
        <v>37</v>
      </c>
      <c r="E80" s="14" t="s">
        <v>692</v>
      </c>
      <c r="F80" s="17"/>
      <c r="G80" s="15">
        <v>51200</v>
      </c>
      <c r="H80" s="16">
        <v>4</v>
      </c>
    </row>
    <row r="81" spans="1:8" x14ac:dyDescent="0.3">
      <c r="A81" s="31" t="s">
        <v>691</v>
      </c>
      <c r="B81" s="32" t="s">
        <v>690</v>
      </c>
      <c r="C81" s="32" t="s">
        <v>64</v>
      </c>
      <c r="D81" s="24">
        <v>44</v>
      </c>
      <c r="E81" s="14" t="s">
        <v>689</v>
      </c>
      <c r="F81" s="17"/>
      <c r="G81" s="15">
        <v>36900</v>
      </c>
      <c r="H81" s="16">
        <v>4</v>
      </c>
    </row>
    <row r="82" spans="1:8" x14ac:dyDescent="0.3">
      <c r="A82" s="31" t="s">
        <v>688</v>
      </c>
      <c r="B82" s="32" t="s">
        <v>687</v>
      </c>
      <c r="C82" s="32" t="s">
        <v>11</v>
      </c>
      <c r="D82" s="24">
        <v>53</v>
      </c>
      <c r="E82" s="14" t="s">
        <v>686</v>
      </c>
      <c r="F82" s="17"/>
      <c r="G82" s="15">
        <v>34700</v>
      </c>
      <c r="H82" s="16">
        <v>5</v>
      </c>
    </row>
    <row r="83" spans="1:8" x14ac:dyDescent="0.3">
      <c r="A83" s="31" t="s">
        <v>685</v>
      </c>
      <c r="B83" s="32" t="s">
        <v>684</v>
      </c>
      <c r="C83" s="32" t="s">
        <v>11</v>
      </c>
      <c r="D83" s="24">
        <v>33</v>
      </c>
      <c r="E83" s="14" t="s">
        <v>683</v>
      </c>
      <c r="F83" s="17"/>
      <c r="G83" s="15">
        <v>41600</v>
      </c>
      <c r="H83" s="16">
        <v>4</v>
      </c>
    </row>
    <row r="84" spans="1:8" x14ac:dyDescent="0.3">
      <c r="A84" s="31" t="s">
        <v>682</v>
      </c>
      <c r="B84" s="32" t="s">
        <v>44</v>
      </c>
      <c r="C84" s="32" t="s">
        <v>11</v>
      </c>
      <c r="D84" s="24">
        <v>49</v>
      </c>
      <c r="E84" s="14" t="s">
        <v>681</v>
      </c>
      <c r="F84" s="17"/>
      <c r="G84" s="15">
        <v>32400</v>
      </c>
      <c r="H84" s="16">
        <v>5</v>
      </c>
    </row>
    <row r="85" spans="1:8" x14ac:dyDescent="0.3">
      <c r="A85" s="31" t="s">
        <v>680</v>
      </c>
      <c r="B85" s="32" t="s">
        <v>679</v>
      </c>
      <c r="C85" s="32" t="s">
        <v>11</v>
      </c>
      <c r="D85" s="24">
        <v>37</v>
      </c>
      <c r="E85" s="14" t="s">
        <v>678</v>
      </c>
      <c r="F85" s="17"/>
      <c r="G85" s="15">
        <v>40600</v>
      </c>
      <c r="H85" s="16">
        <v>3</v>
      </c>
    </row>
    <row r="86" spans="1:8" x14ac:dyDescent="0.3">
      <c r="A86" s="31" t="s">
        <v>677</v>
      </c>
      <c r="B86" s="32" t="s">
        <v>676</v>
      </c>
      <c r="C86" s="32" t="s">
        <v>15</v>
      </c>
      <c r="D86" s="24">
        <v>33</v>
      </c>
      <c r="E86" s="14" t="s">
        <v>675</v>
      </c>
      <c r="F86" s="14" t="s">
        <v>674</v>
      </c>
      <c r="G86" s="15">
        <v>47200</v>
      </c>
      <c r="H86" s="16">
        <v>3</v>
      </c>
    </row>
    <row r="87" spans="1:8" x14ac:dyDescent="0.3">
      <c r="A87" s="31" t="s">
        <v>673</v>
      </c>
      <c r="B87" s="32" t="s">
        <v>672</v>
      </c>
      <c r="C87" s="32" t="s">
        <v>24</v>
      </c>
      <c r="D87" s="24">
        <v>22</v>
      </c>
      <c r="E87" s="14" t="s">
        <v>671</v>
      </c>
      <c r="F87" s="17"/>
      <c r="G87" s="15">
        <v>46100</v>
      </c>
      <c r="H87" s="16">
        <v>4</v>
      </c>
    </row>
    <row r="88" spans="1:8" x14ac:dyDescent="0.3">
      <c r="A88" s="31" t="s">
        <v>670</v>
      </c>
      <c r="B88" s="32" t="s">
        <v>669</v>
      </c>
      <c r="C88" s="32" t="s">
        <v>19</v>
      </c>
      <c r="D88" s="24">
        <v>52</v>
      </c>
      <c r="E88" s="14" t="s">
        <v>668</v>
      </c>
      <c r="F88" s="17"/>
      <c r="G88" s="15">
        <v>40800</v>
      </c>
      <c r="H88" s="16">
        <v>1</v>
      </c>
    </row>
    <row r="89" spans="1:8" x14ac:dyDescent="0.3">
      <c r="A89" s="31" t="s">
        <v>667</v>
      </c>
      <c r="B89" s="32" t="s">
        <v>666</v>
      </c>
      <c r="C89" s="32" t="s">
        <v>11</v>
      </c>
      <c r="D89" s="24">
        <v>37</v>
      </c>
      <c r="E89" s="14" t="s">
        <v>665</v>
      </c>
      <c r="F89" s="17"/>
      <c r="G89" s="15">
        <v>34900</v>
      </c>
      <c r="H89" s="16">
        <v>4</v>
      </c>
    </row>
    <row r="90" spans="1:8" x14ac:dyDescent="0.3">
      <c r="A90" s="31" t="s">
        <v>664</v>
      </c>
      <c r="B90" s="32" t="s">
        <v>663</v>
      </c>
      <c r="C90" s="32" t="s">
        <v>59</v>
      </c>
      <c r="D90" s="24">
        <v>57</v>
      </c>
      <c r="E90" s="14" t="s">
        <v>662</v>
      </c>
      <c r="F90" s="17"/>
      <c r="G90" s="15">
        <v>39900</v>
      </c>
      <c r="H90" s="16">
        <v>3</v>
      </c>
    </row>
    <row r="91" spans="1:8" x14ac:dyDescent="0.3">
      <c r="A91" s="31" t="s">
        <v>661</v>
      </c>
      <c r="B91" s="32" t="s">
        <v>448</v>
      </c>
      <c r="C91" s="32" t="s">
        <v>59</v>
      </c>
      <c r="D91" s="24">
        <v>34</v>
      </c>
      <c r="E91" s="14" t="s">
        <v>660</v>
      </c>
      <c r="F91" s="14" t="s">
        <v>659</v>
      </c>
      <c r="G91" s="15">
        <v>51800</v>
      </c>
      <c r="H91" s="16">
        <v>4</v>
      </c>
    </row>
    <row r="92" spans="1:8" x14ac:dyDescent="0.3">
      <c r="A92" s="31" t="s">
        <v>658</v>
      </c>
      <c r="B92" s="32" t="s">
        <v>657</v>
      </c>
      <c r="C92" s="32" t="s">
        <v>59</v>
      </c>
      <c r="D92" s="24">
        <v>52</v>
      </c>
      <c r="E92" s="14" t="s">
        <v>656</v>
      </c>
      <c r="F92" s="17"/>
      <c r="G92" s="15">
        <v>52400</v>
      </c>
      <c r="H92" s="16">
        <v>4</v>
      </c>
    </row>
    <row r="93" spans="1:8" x14ac:dyDescent="0.3">
      <c r="A93" s="31" t="s">
        <v>655</v>
      </c>
      <c r="B93" s="32" t="s">
        <v>654</v>
      </c>
      <c r="C93" s="32" t="s">
        <v>19</v>
      </c>
      <c r="D93" s="24">
        <v>40</v>
      </c>
      <c r="E93" s="14" t="s">
        <v>653</v>
      </c>
      <c r="F93" s="17"/>
      <c r="G93" s="15">
        <v>37300</v>
      </c>
      <c r="H93" s="16">
        <v>4</v>
      </c>
    </row>
    <row r="94" spans="1:8" x14ac:dyDescent="0.3">
      <c r="A94" s="31" t="s">
        <v>652</v>
      </c>
      <c r="B94" s="32" t="s">
        <v>470</v>
      </c>
      <c r="C94" s="32" t="s">
        <v>64</v>
      </c>
      <c r="D94" s="24">
        <v>25</v>
      </c>
      <c r="E94" s="14" t="s">
        <v>651</v>
      </c>
      <c r="F94" s="17"/>
      <c r="G94" s="15">
        <v>50700</v>
      </c>
      <c r="H94" s="16">
        <v>4</v>
      </c>
    </row>
    <row r="95" spans="1:8" x14ac:dyDescent="0.3">
      <c r="A95" s="31" t="s">
        <v>650</v>
      </c>
      <c r="B95" s="32" t="s">
        <v>594</v>
      </c>
      <c r="C95" s="32" t="s">
        <v>64</v>
      </c>
      <c r="D95" s="24">
        <v>58</v>
      </c>
      <c r="E95" s="14" t="s">
        <v>649</v>
      </c>
      <c r="F95" s="17"/>
      <c r="G95" s="15">
        <v>38600</v>
      </c>
      <c r="H95" s="16">
        <v>3</v>
      </c>
    </row>
    <row r="96" spans="1:8" x14ac:dyDescent="0.3">
      <c r="A96" s="31" t="s">
        <v>648</v>
      </c>
      <c r="B96" s="32" t="s">
        <v>647</v>
      </c>
      <c r="C96" s="32" t="s">
        <v>11</v>
      </c>
      <c r="D96" s="24">
        <v>29</v>
      </c>
      <c r="E96" s="14" t="s">
        <v>646</v>
      </c>
      <c r="F96" s="14" t="s">
        <v>645</v>
      </c>
      <c r="G96" s="15">
        <v>27800</v>
      </c>
      <c r="H96" s="16">
        <v>4</v>
      </c>
    </row>
    <row r="97" spans="1:8" x14ac:dyDescent="0.3">
      <c r="A97" s="31" t="s">
        <v>644</v>
      </c>
      <c r="B97" s="32" t="s">
        <v>56</v>
      </c>
      <c r="C97" s="32" t="s">
        <v>19</v>
      </c>
      <c r="D97" s="24">
        <v>58</v>
      </c>
      <c r="E97" s="14" t="s">
        <v>643</v>
      </c>
      <c r="F97" s="14" t="s">
        <v>642</v>
      </c>
      <c r="G97" s="15">
        <v>32800</v>
      </c>
      <c r="H97" s="16">
        <v>4</v>
      </c>
    </row>
    <row r="98" spans="1:8" x14ac:dyDescent="0.3">
      <c r="A98" s="31" t="s">
        <v>641</v>
      </c>
      <c r="B98" s="32" t="s">
        <v>640</v>
      </c>
      <c r="C98" s="32" t="s">
        <v>24</v>
      </c>
      <c r="D98" s="24">
        <v>36</v>
      </c>
      <c r="E98" s="14" t="s">
        <v>639</v>
      </c>
      <c r="F98" s="17"/>
      <c r="G98" s="15">
        <v>54800</v>
      </c>
      <c r="H98" s="16">
        <v>3</v>
      </c>
    </row>
    <row r="99" spans="1:8" x14ac:dyDescent="0.3">
      <c r="A99" s="31" t="s">
        <v>638</v>
      </c>
      <c r="B99" s="32" t="s">
        <v>610</v>
      </c>
      <c r="C99" s="32" t="s">
        <v>15</v>
      </c>
      <c r="D99" s="24">
        <v>58</v>
      </c>
      <c r="E99" s="14" t="s">
        <v>637</v>
      </c>
      <c r="F99" s="14" t="s">
        <v>636</v>
      </c>
      <c r="G99" s="15">
        <v>63700</v>
      </c>
      <c r="H99" s="16">
        <v>3</v>
      </c>
    </row>
    <row r="100" spans="1:8" x14ac:dyDescent="0.3">
      <c r="A100" s="31" t="s">
        <v>635</v>
      </c>
      <c r="B100" s="32" t="s">
        <v>634</v>
      </c>
      <c r="C100" s="32" t="s">
        <v>59</v>
      </c>
      <c r="D100" s="24">
        <v>27</v>
      </c>
      <c r="E100" s="14" t="s">
        <v>633</v>
      </c>
      <c r="F100" s="14" t="s">
        <v>632</v>
      </c>
      <c r="G100" s="15">
        <v>30800</v>
      </c>
      <c r="H100" s="16">
        <v>1</v>
      </c>
    </row>
    <row r="101" spans="1:8" x14ac:dyDescent="0.3">
      <c r="A101" s="31" t="s">
        <v>631</v>
      </c>
      <c r="B101" s="32" t="s">
        <v>630</v>
      </c>
      <c r="C101" s="32" t="s">
        <v>11</v>
      </c>
      <c r="D101" s="24">
        <v>40</v>
      </c>
      <c r="E101" s="14" t="s">
        <v>629</v>
      </c>
      <c r="F101" s="14" t="s">
        <v>628</v>
      </c>
      <c r="G101" s="15">
        <v>32800</v>
      </c>
      <c r="H101" s="16">
        <v>5</v>
      </c>
    </row>
    <row r="102" spans="1:8" x14ac:dyDescent="0.3">
      <c r="A102" s="31" t="s">
        <v>627</v>
      </c>
      <c r="B102" s="32" t="s">
        <v>626</v>
      </c>
      <c r="C102" s="32" t="s">
        <v>15</v>
      </c>
      <c r="D102" s="24">
        <v>34</v>
      </c>
      <c r="E102" s="14" t="s">
        <v>625</v>
      </c>
      <c r="F102" s="14" t="s">
        <v>624</v>
      </c>
      <c r="G102" s="15">
        <v>56500</v>
      </c>
      <c r="H102" s="16">
        <v>5</v>
      </c>
    </row>
    <row r="103" spans="1:8" x14ac:dyDescent="0.3">
      <c r="A103" s="31" t="s">
        <v>623</v>
      </c>
      <c r="B103" s="32" t="s">
        <v>566</v>
      </c>
      <c r="C103" s="32" t="s">
        <v>64</v>
      </c>
      <c r="D103" s="24">
        <v>32</v>
      </c>
      <c r="E103" s="14" t="s">
        <v>622</v>
      </c>
      <c r="F103" s="17"/>
      <c r="G103" s="15">
        <v>46000</v>
      </c>
      <c r="H103" s="16">
        <v>4</v>
      </c>
    </row>
    <row r="104" spans="1:8" x14ac:dyDescent="0.3">
      <c r="A104" s="31" t="s">
        <v>621</v>
      </c>
      <c r="B104" s="32" t="s">
        <v>353</v>
      </c>
      <c r="C104" s="32" t="s">
        <v>64</v>
      </c>
      <c r="D104" s="24">
        <v>51</v>
      </c>
      <c r="E104" s="14" t="s">
        <v>620</v>
      </c>
      <c r="F104" s="17"/>
      <c r="G104" s="15">
        <v>37700</v>
      </c>
      <c r="H104" s="16">
        <v>3</v>
      </c>
    </row>
    <row r="105" spans="1:8" x14ac:dyDescent="0.3">
      <c r="A105" s="31" t="s">
        <v>619</v>
      </c>
      <c r="B105" s="32" t="s">
        <v>44</v>
      </c>
      <c r="C105" s="32" t="s">
        <v>11</v>
      </c>
      <c r="D105" s="24">
        <v>27</v>
      </c>
      <c r="E105" s="14" t="s">
        <v>618</v>
      </c>
      <c r="F105" s="14" t="s">
        <v>617</v>
      </c>
      <c r="G105" s="15">
        <v>43600</v>
      </c>
      <c r="H105" s="16">
        <v>4</v>
      </c>
    </row>
    <row r="106" spans="1:8" x14ac:dyDescent="0.3">
      <c r="A106" s="31" t="s">
        <v>616</v>
      </c>
      <c r="B106" s="32" t="s">
        <v>615</v>
      </c>
      <c r="C106" s="32" t="s">
        <v>19</v>
      </c>
      <c r="D106" s="24">
        <v>58</v>
      </c>
      <c r="E106" s="14" t="s">
        <v>614</v>
      </c>
      <c r="F106" s="17"/>
      <c r="G106" s="15">
        <v>54000</v>
      </c>
      <c r="H106" s="16">
        <v>4</v>
      </c>
    </row>
    <row r="107" spans="1:8" x14ac:dyDescent="0.3">
      <c r="A107" s="31" t="s">
        <v>613</v>
      </c>
      <c r="B107" s="32" t="s">
        <v>391</v>
      </c>
      <c r="C107" s="32" t="s">
        <v>64</v>
      </c>
      <c r="D107" s="24">
        <v>33</v>
      </c>
      <c r="E107" s="14" t="s">
        <v>612</v>
      </c>
      <c r="F107" s="17"/>
      <c r="G107" s="15">
        <v>38600</v>
      </c>
      <c r="H107" s="16">
        <v>3</v>
      </c>
    </row>
    <row r="108" spans="1:8" x14ac:dyDescent="0.3">
      <c r="A108" s="31" t="s">
        <v>611</v>
      </c>
      <c r="B108" s="32" t="s">
        <v>610</v>
      </c>
      <c r="C108" s="32" t="s">
        <v>59</v>
      </c>
      <c r="D108" s="24">
        <v>53</v>
      </c>
      <c r="E108" s="14" t="s">
        <v>609</v>
      </c>
      <c r="F108" s="17"/>
      <c r="G108" s="15">
        <v>38800</v>
      </c>
      <c r="H108" s="16">
        <v>3</v>
      </c>
    </row>
    <row r="109" spans="1:8" x14ac:dyDescent="0.3">
      <c r="A109" s="31" t="s">
        <v>608</v>
      </c>
      <c r="B109" s="32" t="s">
        <v>607</v>
      </c>
      <c r="C109" s="32" t="s">
        <v>15</v>
      </c>
      <c r="D109" s="24">
        <v>48</v>
      </c>
      <c r="E109" s="14" t="s">
        <v>606</v>
      </c>
      <c r="F109" s="17"/>
      <c r="G109" s="15">
        <v>56900</v>
      </c>
      <c r="H109" s="16">
        <v>3</v>
      </c>
    </row>
    <row r="110" spans="1:8" x14ac:dyDescent="0.3">
      <c r="A110" s="31" t="s">
        <v>605</v>
      </c>
      <c r="B110" s="32" t="s">
        <v>604</v>
      </c>
      <c r="C110" s="32" t="s">
        <v>11</v>
      </c>
      <c r="D110" s="24">
        <v>27</v>
      </c>
      <c r="E110" s="14" t="s">
        <v>603</v>
      </c>
      <c r="F110" s="14" t="s">
        <v>602</v>
      </c>
      <c r="G110" s="15">
        <v>49300</v>
      </c>
      <c r="H110" s="16">
        <v>3</v>
      </c>
    </row>
    <row r="111" spans="1:8" x14ac:dyDescent="0.3">
      <c r="A111" s="31" t="s">
        <v>601</v>
      </c>
      <c r="B111" s="32" t="s">
        <v>600</v>
      </c>
      <c r="C111" s="32" t="s">
        <v>59</v>
      </c>
      <c r="D111" s="24">
        <v>56</v>
      </c>
      <c r="E111" s="14" t="s">
        <v>599</v>
      </c>
      <c r="F111" s="17"/>
      <c r="G111" s="15">
        <v>33500</v>
      </c>
      <c r="H111" s="16">
        <v>3</v>
      </c>
    </row>
    <row r="112" spans="1:8" x14ac:dyDescent="0.3">
      <c r="A112" s="31" t="s">
        <v>598</v>
      </c>
      <c r="B112" s="32" t="s">
        <v>597</v>
      </c>
      <c r="C112" s="32" t="s">
        <v>64</v>
      </c>
      <c r="D112" s="24">
        <v>35</v>
      </c>
      <c r="E112" s="14" t="s">
        <v>596</v>
      </c>
      <c r="F112" s="17"/>
      <c r="G112" s="15">
        <v>50300</v>
      </c>
      <c r="H112" s="16">
        <v>3</v>
      </c>
    </row>
    <row r="113" spans="1:8" x14ac:dyDescent="0.3">
      <c r="A113" s="31" t="s">
        <v>595</v>
      </c>
      <c r="B113" s="32" t="s">
        <v>594</v>
      </c>
      <c r="C113" s="32" t="s">
        <v>64</v>
      </c>
      <c r="D113" s="24">
        <v>37</v>
      </c>
      <c r="E113" s="14" t="s">
        <v>593</v>
      </c>
      <c r="F113" s="14" t="s">
        <v>592</v>
      </c>
      <c r="G113" s="15">
        <v>28300</v>
      </c>
      <c r="H113" s="16">
        <v>3</v>
      </c>
    </row>
    <row r="114" spans="1:8" x14ac:dyDescent="0.3">
      <c r="A114" s="31" t="s">
        <v>591</v>
      </c>
      <c r="B114" s="32" t="s">
        <v>448</v>
      </c>
      <c r="C114" s="32" t="s">
        <v>11</v>
      </c>
      <c r="D114" s="24">
        <v>29</v>
      </c>
      <c r="E114" s="14" t="s">
        <v>590</v>
      </c>
      <c r="F114" s="17"/>
      <c r="G114" s="15">
        <v>38000</v>
      </c>
      <c r="H114" s="16">
        <v>4</v>
      </c>
    </row>
    <row r="115" spans="1:8" x14ac:dyDescent="0.3">
      <c r="A115" s="31" t="s">
        <v>589</v>
      </c>
      <c r="B115" s="32" t="s">
        <v>583</v>
      </c>
      <c r="C115" s="32" t="s">
        <v>11</v>
      </c>
      <c r="D115" s="24">
        <v>52</v>
      </c>
      <c r="E115" s="14" t="s">
        <v>588</v>
      </c>
      <c r="F115" s="14" t="s">
        <v>587</v>
      </c>
      <c r="G115" s="15">
        <v>29500</v>
      </c>
      <c r="H115" s="16">
        <v>3</v>
      </c>
    </row>
    <row r="116" spans="1:8" x14ac:dyDescent="0.3">
      <c r="A116" s="31" t="s">
        <v>586</v>
      </c>
      <c r="B116" s="32" t="s">
        <v>326</v>
      </c>
      <c r="C116" s="32" t="s">
        <v>59</v>
      </c>
      <c r="D116" s="24">
        <v>30</v>
      </c>
      <c r="E116" s="14" t="s">
        <v>585</v>
      </c>
      <c r="F116" s="14" t="s">
        <v>111</v>
      </c>
      <c r="G116" s="15">
        <v>49500</v>
      </c>
      <c r="H116" s="16">
        <v>3</v>
      </c>
    </row>
    <row r="117" spans="1:8" x14ac:dyDescent="0.3">
      <c r="A117" s="31" t="s">
        <v>584</v>
      </c>
      <c r="B117" s="32" t="s">
        <v>583</v>
      </c>
      <c r="C117" s="32" t="s">
        <v>64</v>
      </c>
      <c r="D117" s="24">
        <v>40</v>
      </c>
      <c r="E117" s="14" t="s">
        <v>582</v>
      </c>
      <c r="F117" s="17"/>
      <c r="G117" s="15">
        <v>42100</v>
      </c>
      <c r="H117" s="16">
        <v>5</v>
      </c>
    </row>
    <row r="118" spans="1:8" x14ac:dyDescent="0.3">
      <c r="A118" s="31" t="s">
        <v>581</v>
      </c>
      <c r="B118" s="32" t="s">
        <v>580</v>
      </c>
      <c r="C118" s="32" t="s">
        <v>11</v>
      </c>
      <c r="D118" s="24">
        <v>56</v>
      </c>
      <c r="E118" s="14" t="s">
        <v>579</v>
      </c>
      <c r="F118" s="17"/>
      <c r="G118" s="15">
        <v>39200</v>
      </c>
      <c r="H118" s="16">
        <v>4</v>
      </c>
    </row>
    <row r="119" spans="1:8" x14ac:dyDescent="0.3">
      <c r="A119" s="31" t="s">
        <v>578</v>
      </c>
      <c r="B119" s="32" t="s">
        <v>577</v>
      </c>
      <c r="C119" s="32" t="s">
        <v>19</v>
      </c>
      <c r="D119" s="24">
        <v>37</v>
      </c>
      <c r="E119" s="14" t="s">
        <v>576</v>
      </c>
      <c r="F119" s="17"/>
      <c r="G119" s="15">
        <v>50500</v>
      </c>
      <c r="H119" s="16">
        <v>3</v>
      </c>
    </row>
    <row r="120" spans="1:8" x14ac:dyDescent="0.3">
      <c r="A120" s="31" t="s">
        <v>575</v>
      </c>
      <c r="B120" s="32" t="s">
        <v>574</v>
      </c>
      <c r="C120" s="32" t="s">
        <v>59</v>
      </c>
      <c r="D120" s="24">
        <v>46</v>
      </c>
      <c r="E120" s="14" t="s">
        <v>573</v>
      </c>
      <c r="F120" s="17"/>
      <c r="G120" s="15">
        <v>48000</v>
      </c>
      <c r="H120" s="16">
        <v>4</v>
      </c>
    </row>
    <row r="121" spans="1:8" x14ac:dyDescent="0.3">
      <c r="A121" s="31" t="s">
        <v>572</v>
      </c>
      <c r="B121" s="32" t="s">
        <v>571</v>
      </c>
      <c r="C121" s="32" t="s">
        <v>64</v>
      </c>
      <c r="D121" s="24">
        <v>30</v>
      </c>
      <c r="E121" s="14" t="s">
        <v>570</v>
      </c>
      <c r="F121" s="17"/>
      <c r="G121" s="15">
        <v>36000</v>
      </c>
      <c r="H121" s="16">
        <v>2</v>
      </c>
    </row>
    <row r="122" spans="1:8" x14ac:dyDescent="0.3">
      <c r="A122" s="31" t="s">
        <v>569</v>
      </c>
      <c r="B122" s="32" t="s">
        <v>381</v>
      </c>
      <c r="C122" s="32" t="s">
        <v>24</v>
      </c>
      <c r="D122" s="24">
        <v>51</v>
      </c>
      <c r="E122" s="14" t="s">
        <v>568</v>
      </c>
      <c r="F122" s="17"/>
      <c r="G122" s="15">
        <v>53800</v>
      </c>
      <c r="H122" s="16">
        <v>4</v>
      </c>
    </row>
    <row r="123" spans="1:8" x14ac:dyDescent="0.3">
      <c r="A123" s="31" t="s">
        <v>567</v>
      </c>
      <c r="B123" s="32" t="s">
        <v>566</v>
      </c>
      <c r="C123" s="32" t="s">
        <v>11</v>
      </c>
      <c r="D123" s="24">
        <v>38</v>
      </c>
      <c r="E123" s="14" t="s">
        <v>565</v>
      </c>
      <c r="F123" s="17"/>
      <c r="G123" s="15">
        <v>35500</v>
      </c>
      <c r="H123" s="16">
        <v>2</v>
      </c>
    </row>
    <row r="124" spans="1:8" x14ac:dyDescent="0.3">
      <c r="A124" s="31" t="s">
        <v>564</v>
      </c>
      <c r="B124" s="32" t="s">
        <v>563</v>
      </c>
      <c r="C124" s="32" t="s">
        <v>11</v>
      </c>
      <c r="D124" s="24">
        <v>42</v>
      </c>
      <c r="E124" s="14" t="s">
        <v>562</v>
      </c>
      <c r="F124" s="17"/>
      <c r="G124" s="15">
        <v>44200</v>
      </c>
      <c r="H124" s="16">
        <v>5</v>
      </c>
    </row>
    <row r="125" spans="1:8" x14ac:dyDescent="0.3">
      <c r="A125" s="31" t="s">
        <v>561</v>
      </c>
      <c r="B125" s="32" t="s">
        <v>560</v>
      </c>
      <c r="C125" s="32" t="s">
        <v>64</v>
      </c>
      <c r="D125" s="24">
        <v>37</v>
      </c>
      <c r="E125" s="14" t="s">
        <v>559</v>
      </c>
      <c r="F125" s="17"/>
      <c r="G125" s="15">
        <v>34900</v>
      </c>
      <c r="H125" s="16">
        <v>3</v>
      </c>
    </row>
    <row r="126" spans="1:8" x14ac:dyDescent="0.3">
      <c r="A126" s="31" t="s">
        <v>558</v>
      </c>
      <c r="B126" s="32" t="s">
        <v>292</v>
      </c>
      <c r="C126" s="32" t="s">
        <v>64</v>
      </c>
      <c r="D126" s="24">
        <v>28</v>
      </c>
      <c r="E126" s="14" t="s">
        <v>557</v>
      </c>
      <c r="F126" s="14" t="s">
        <v>556</v>
      </c>
      <c r="G126" s="15">
        <v>49700</v>
      </c>
      <c r="H126" s="16">
        <v>1</v>
      </c>
    </row>
    <row r="127" spans="1:8" x14ac:dyDescent="0.3">
      <c r="A127" s="31" t="s">
        <v>555</v>
      </c>
      <c r="B127" s="32" t="s">
        <v>554</v>
      </c>
      <c r="C127" s="32" t="s">
        <v>15</v>
      </c>
      <c r="D127" s="24">
        <v>45</v>
      </c>
      <c r="E127" s="14" t="s">
        <v>553</v>
      </c>
      <c r="F127" s="14" t="s">
        <v>552</v>
      </c>
      <c r="G127" s="15">
        <v>50900</v>
      </c>
      <c r="H127" s="16">
        <v>4</v>
      </c>
    </row>
    <row r="128" spans="1:8" x14ac:dyDescent="0.3">
      <c r="A128" s="31" t="s">
        <v>551</v>
      </c>
      <c r="B128" s="32" t="s">
        <v>550</v>
      </c>
      <c r="C128" s="32" t="s">
        <v>19</v>
      </c>
      <c r="D128" s="24">
        <v>27</v>
      </c>
      <c r="E128" s="14" t="s">
        <v>549</v>
      </c>
      <c r="F128" s="17"/>
      <c r="G128" s="15">
        <v>44900</v>
      </c>
      <c r="H128" s="16">
        <v>3</v>
      </c>
    </row>
    <row r="129" spans="1:8" x14ac:dyDescent="0.3">
      <c r="A129" s="31" t="s">
        <v>548</v>
      </c>
      <c r="B129" s="32" t="s">
        <v>547</v>
      </c>
      <c r="C129" s="32" t="s">
        <v>19</v>
      </c>
      <c r="D129" s="24">
        <v>51</v>
      </c>
      <c r="E129" s="14" t="s">
        <v>546</v>
      </c>
      <c r="F129" s="14" t="s">
        <v>545</v>
      </c>
      <c r="G129" s="15">
        <v>46000</v>
      </c>
      <c r="H129" s="16">
        <v>5</v>
      </c>
    </row>
    <row r="130" spans="1:8" x14ac:dyDescent="0.3">
      <c r="A130" s="31" t="s">
        <v>544</v>
      </c>
      <c r="B130" s="32" t="s">
        <v>510</v>
      </c>
      <c r="C130" s="32" t="s">
        <v>59</v>
      </c>
      <c r="D130" s="24">
        <v>56</v>
      </c>
      <c r="E130" s="14" t="s">
        <v>543</v>
      </c>
      <c r="F130" s="14" t="s">
        <v>542</v>
      </c>
      <c r="G130" s="15">
        <v>52700</v>
      </c>
      <c r="H130" s="16">
        <v>3</v>
      </c>
    </row>
    <row r="131" spans="1:8" x14ac:dyDescent="0.3">
      <c r="A131" s="31" t="s">
        <v>541</v>
      </c>
      <c r="B131" s="32" t="s">
        <v>540</v>
      </c>
      <c r="C131" s="32" t="s">
        <v>11</v>
      </c>
      <c r="D131" s="24">
        <v>41</v>
      </c>
      <c r="E131" s="14" t="s">
        <v>539</v>
      </c>
      <c r="F131" s="17"/>
      <c r="G131" s="15">
        <v>46500</v>
      </c>
      <c r="H131" s="16">
        <v>2</v>
      </c>
    </row>
    <row r="132" spans="1:8" x14ac:dyDescent="0.3">
      <c r="A132" s="31" t="s">
        <v>538</v>
      </c>
      <c r="B132" s="32" t="s">
        <v>277</v>
      </c>
      <c r="C132" s="32" t="s">
        <v>15</v>
      </c>
      <c r="D132" s="24">
        <v>58</v>
      </c>
      <c r="E132" s="14" t="s">
        <v>537</v>
      </c>
      <c r="F132" s="17"/>
      <c r="G132" s="15">
        <v>48100</v>
      </c>
      <c r="H132" s="16">
        <v>5</v>
      </c>
    </row>
    <row r="133" spans="1:8" x14ac:dyDescent="0.3">
      <c r="A133" s="31" t="s">
        <v>536</v>
      </c>
      <c r="B133" s="32" t="s">
        <v>535</v>
      </c>
      <c r="C133" s="32" t="s">
        <v>64</v>
      </c>
      <c r="D133" s="24">
        <v>58</v>
      </c>
      <c r="E133" s="14" t="s">
        <v>534</v>
      </c>
      <c r="F133" s="17"/>
      <c r="G133" s="15">
        <v>51400</v>
      </c>
      <c r="H133" s="16">
        <v>5</v>
      </c>
    </row>
    <row r="134" spans="1:8" x14ac:dyDescent="0.3">
      <c r="A134" s="31" t="s">
        <v>533</v>
      </c>
      <c r="B134" s="32" t="s">
        <v>532</v>
      </c>
      <c r="C134" s="32" t="s">
        <v>19</v>
      </c>
      <c r="D134" s="24">
        <v>44</v>
      </c>
      <c r="E134" s="14" t="s">
        <v>531</v>
      </c>
      <c r="F134" s="17"/>
      <c r="G134" s="15">
        <v>44900</v>
      </c>
      <c r="H134" s="16">
        <v>4</v>
      </c>
    </row>
    <row r="135" spans="1:8" x14ac:dyDescent="0.3">
      <c r="A135" s="31" t="s">
        <v>530</v>
      </c>
      <c r="B135" s="32" t="s">
        <v>148</v>
      </c>
      <c r="C135" s="32" t="s">
        <v>59</v>
      </c>
      <c r="D135" s="24">
        <v>24</v>
      </c>
      <c r="E135" s="14" t="s">
        <v>529</v>
      </c>
      <c r="F135" s="17"/>
      <c r="G135" s="15">
        <v>29800</v>
      </c>
      <c r="H135" s="16">
        <v>3</v>
      </c>
    </row>
    <row r="136" spans="1:8" x14ac:dyDescent="0.3">
      <c r="A136" s="31" t="s">
        <v>528</v>
      </c>
      <c r="B136" s="32" t="s">
        <v>527</v>
      </c>
      <c r="C136" s="32" t="s">
        <v>15</v>
      </c>
      <c r="D136" s="24">
        <v>42</v>
      </c>
      <c r="E136" s="14" t="s">
        <v>526</v>
      </c>
      <c r="F136" s="17"/>
      <c r="G136" s="15">
        <v>45800</v>
      </c>
      <c r="H136" s="16">
        <v>4</v>
      </c>
    </row>
    <row r="137" spans="1:8" x14ac:dyDescent="0.3">
      <c r="A137" s="31" t="s">
        <v>525</v>
      </c>
      <c r="B137" s="32" t="s">
        <v>524</v>
      </c>
      <c r="C137" s="32" t="s">
        <v>24</v>
      </c>
      <c r="D137" s="24">
        <v>39</v>
      </c>
      <c r="E137" s="14" t="s">
        <v>523</v>
      </c>
      <c r="F137" s="14" t="s">
        <v>522</v>
      </c>
      <c r="G137" s="15">
        <v>67200</v>
      </c>
      <c r="H137" s="16">
        <v>3</v>
      </c>
    </row>
    <row r="138" spans="1:8" x14ac:dyDescent="0.3">
      <c r="A138" s="31" t="s">
        <v>521</v>
      </c>
      <c r="B138" s="32" t="s">
        <v>520</v>
      </c>
      <c r="C138" s="32" t="s">
        <v>11</v>
      </c>
      <c r="D138" s="24">
        <v>26</v>
      </c>
      <c r="E138" s="14" t="s">
        <v>519</v>
      </c>
      <c r="F138" s="17"/>
      <c r="G138" s="15">
        <v>31400</v>
      </c>
      <c r="H138" s="16">
        <v>4</v>
      </c>
    </row>
    <row r="139" spans="1:8" x14ac:dyDescent="0.3">
      <c r="A139" s="31" t="s">
        <v>518</v>
      </c>
      <c r="B139" s="32" t="s">
        <v>517</v>
      </c>
      <c r="C139" s="32" t="s">
        <v>15</v>
      </c>
      <c r="D139" s="24">
        <v>27</v>
      </c>
      <c r="E139" s="14" t="s">
        <v>516</v>
      </c>
      <c r="F139" s="17"/>
      <c r="G139" s="15">
        <v>47300</v>
      </c>
      <c r="H139" s="16">
        <v>2</v>
      </c>
    </row>
    <row r="140" spans="1:8" x14ac:dyDescent="0.3">
      <c r="A140" s="31" t="s">
        <v>515</v>
      </c>
      <c r="B140" s="32" t="s">
        <v>312</v>
      </c>
      <c r="C140" s="32" t="s">
        <v>24</v>
      </c>
      <c r="D140" s="24">
        <v>46</v>
      </c>
      <c r="E140" s="14" t="s">
        <v>514</v>
      </c>
      <c r="F140" s="17"/>
      <c r="G140" s="15">
        <v>52900</v>
      </c>
      <c r="H140" s="16">
        <v>4</v>
      </c>
    </row>
    <row r="141" spans="1:8" x14ac:dyDescent="0.3">
      <c r="A141" s="31" t="s">
        <v>513</v>
      </c>
      <c r="B141" s="32" t="s">
        <v>512</v>
      </c>
      <c r="C141" s="32" t="s">
        <v>24</v>
      </c>
      <c r="D141" s="24">
        <v>57</v>
      </c>
      <c r="E141" s="14" t="s">
        <v>422</v>
      </c>
      <c r="F141" s="17"/>
      <c r="G141" s="15">
        <v>49300</v>
      </c>
      <c r="H141" s="16">
        <v>2</v>
      </c>
    </row>
    <row r="142" spans="1:8" x14ac:dyDescent="0.3">
      <c r="A142" s="31" t="s">
        <v>511</v>
      </c>
      <c r="B142" s="32" t="s">
        <v>510</v>
      </c>
      <c r="C142" s="32" t="s">
        <v>59</v>
      </c>
      <c r="D142" s="24">
        <v>48</v>
      </c>
      <c r="E142" s="14" t="s">
        <v>509</v>
      </c>
      <c r="F142" s="14" t="s">
        <v>508</v>
      </c>
      <c r="G142" s="15">
        <v>36300</v>
      </c>
      <c r="H142" s="16">
        <v>3</v>
      </c>
    </row>
    <row r="143" spans="1:8" x14ac:dyDescent="0.3">
      <c r="A143" s="31" t="s">
        <v>507</v>
      </c>
      <c r="B143" s="32" t="s">
        <v>506</v>
      </c>
      <c r="C143" s="32" t="s">
        <v>24</v>
      </c>
      <c r="D143" s="24">
        <v>30</v>
      </c>
      <c r="E143" s="14" t="s">
        <v>505</v>
      </c>
      <c r="F143" s="17"/>
      <c r="G143" s="15">
        <v>60100</v>
      </c>
      <c r="H143" s="16">
        <v>4</v>
      </c>
    </row>
    <row r="144" spans="1:8" x14ac:dyDescent="0.3">
      <c r="A144" s="31" t="s">
        <v>504</v>
      </c>
      <c r="B144" s="32" t="s">
        <v>503</v>
      </c>
      <c r="C144" s="32" t="s">
        <v>24</v>
      </c>
      <c r="D144" s="24">
        <v>31</v>
      </c>
      <c r="E144" s="14" t="s">
        <v>502</v>
      </c>
      <c r="F144" s="17"/>
      <c r="G144" s="15">
        <v>64000</v>
      </c>
      <c r="H144" s="16">
        <v>4</v>
      </c>
    </row>
    <row r="145" spans="1:8" x14ac:dyDescent="0.3">
      <c r="A145" s="31" t="s">
        <v>501</v>
      </c>
      <c r="B145" s="32" t="s">
        <v>50</v>
      </c>
      <c r="C145" s="32" t="s">
        <v>59</v>
      </c>
      <c r="D145" s="24">
        <v>45</v>
      </c>
      <c r="E145" s="14" t="s">
        <v>500</v>
      </c>
      <c r="F145" s="17"/>
      <c r="G145" s="15">
        <v>51800</v>
      </c>
      <c r="H145" s="16">
        <v>5</v>
      </c>
    </row>
    <row r="146" spans="1:8" x14ac:dyDescent="0.3">
      <c r="A146" s="31" t="s">
        <v>499</v>
      </c>
      <c r="B146" s="32" t="s">
        <v>498</v>
      </c>
      <c r="C146" s="32" t="s">
        <v>24</v>
      </c>
      <c r="D146" s="24">
        <v>44</v>
      </c>
      <c r="E146" s="14" t="s">
        <v>497</v>
      </c>
      <c r="F146" s="17"/>
      <c r="G146" s="15">
        <v>48600</v>
      </c>
      <c r="H146" s="16">
        <v>2</v>
      </c>
    </row>
    <row r="147" spans="1:8" x14ac:dyDescent="0.3">
      <c r="A147" s="31" t="s">
        <v>496</v>
      </c>
      <c r="B147" s="32" t="s">
        <v>495</v>
      </c>
      <c r="C147" s="32" t="s">
        <v>59</v>
      </c>
      <c r="D147" s="24">
        <v>35</v>
      </c>
      <c r="E147" s="14" t="s">
        <v>494</v>
      </c>
      <c r="F147" s="17"/>
      <c r="G147" s="15">
        <v>52300</v>
      </c>
      <c r="H147" s="16">
        <v>2</v>
      </c>
    </row>
    <row r="148" spans="1:8" x14ac:dyDescent="0.3">
      <c r="A148" s="31" t="s">
        <v>493</v>
      </c>
      <c r="B148" s="32" t="s">
        <v>12</v>
      </c>
      <c r="C148" s="32" t="s">
        <v>19</v>
      </c>
      <c r="D148" s="24">
        <v>58</v>
      </c>
      <c r="E148" s="14" t="s">
        <v>492</v>
      </c>
      <c r="F148" s="14" t="s">
        <v>491</v>
      </c>
      <c r="G148" s="15">
        <v>35000</v>
      </c>
      <c r="H148" s="16">
        <v>3</v>
      </c>
    </row>
    <row r="149" spans="1:8" x14ac:dyDescent="0.3">
      <c r="A149" s="31" t="s">
        <v>490</v>
      </c>
      <c r="B149" s="32" t="s">
        <v>489</v>
      </c>
      <c r="C149" s="32" t="s">
        <v>19</v>
      </c>
      <c r="D149" s="24">
        <v>22</v>
      </c>
      <c r="E149" s="14" t="s">
        <v>488</v>
      </c>
      <c r="F149" s="17"/>
      <c r="G149" s="15">
        <v>33500</v>
      </c>
      <c r="H149" s="16">
        <v>2</v>
      </c>
    </row>
    <row r="150" spans="1:8" x14ac:dyDescent="0.3">
      <c r="A150" s="31" t="s">
        <v>487</v>
      </c>
      <c r="B150" s="32" t="s">
        <v>486</v>
      </c>
      <c r="C150" s="32" t="s">
        <v>64</v>
      </c>
      <c r="D150" s="24">
        <v>23</v>
      </c>
      <c r="E150" s="14" t="s">
        <v>485</v>
      </c>
      <c r="F150" s="14" t="s">
        <v>484</v>
      </c>
      <c r="G150" s="15">
        <v>42100</v>
      </c>
      <c r="H150" s="16">
        <v>1</v>
      </c>
    </row>
    <row r="151" spans="1:8" x14ac:dyDescent="0.3">
      <c r="A151" s="31" t="s">
        <v>483</v>
      </c>
      <c r="B151" s="32" t="s">
        <v>482</v>
      </c>
      <c r="C151" s="32" t="s">
        <v>19</v>
      </c>
      <c r="D151" s="24">
        <v>48</v>
      </c>
      <c r="E151" s="14" t="s">
        <v>481</v>
      </c>
      <c r="F151" s="14" t="s">
        <v>480</v>
      </c>
      <c r="G151" s="15">
        <v>41400</v>
      </c>
      <c r="H151" s="16">
        <v>4</v>
      </c>
    </row>
    <row r="152" spans="1:8" x14ac:dyDescent="0.3">
      <c r="A152" s="31" t="s">
        <v>479</v>
      </c>
      <c r="B152" s="32" t="s">
        <v>321</v>
      </c>
      <c r="C152" s="32" t="s">
        <v>64</v>
      </c>
      <c r="D152" s="24">
        <v>50</v>
      </c>
      <c r="E152" s="14" t="s">
        <v>478</v>
      </c>
      <c r="F152" s="14" t="s">
        <v>477</v>
      </c>
      <c r="G152" s="15">
        <v>29000</v>
      </c>
      <c r="H152" s="16">
        <v>4</v>
      </c>
    </row>
    <row r="153" spans="1:8" x14ac:dyDescent="0.3">
      <c r="A153" s="31" t="s">
        <v>476</v>
      </c>
      <c r="B153" s="32" t="s">
        <v>241</v>
      </c>
      <c r="C153" s="32" t="s">
        <v>11</v>
      </c>
      <c r="D153" s="24">
        <v>23</v>
      </c>
      <c r="E153" s="14" t="s">
        <v>475</v>
      </c>
      <c r="F153" s="17"/>
      <c r="G153" s="15">
        <v>46300</v>
      </c>
      <c r="H153" s="16">
        <v>3</v>
      </c>
    </row>
    <row r="154" spans="1:8" x14ac:dyDescent="0.3">
      <c r="A154" s="31" t="s">
        <v>474</v>
      </c>
      <c r="B154" s="32" t="s">
        <v>473</v>
      </c>
      <c r="C154" s="32" t="s">
        <v>59</v>
      </c>
      <c r="D154" s="24">
        <v>50</v>
      </c>
      <c r="E154" s="14" t="s">
        <v>472</v>
      </c>
      <c r="F154" s="17"/>
      <c r="G154" s="15">
        <v>36700</v>
      </c>
      <c r="H154" s="16">
        <v>2</v>
      </c>
    </row>
    <row r="155" spans="1:8" x14ac:dyDescent="0.3">
      <c r="A155" s="31" t="s">
        <v>471</v>
      </c>
      <c r="B155" s="32" t="s">
        <v>470</v>
      </c>
      <c r="C155" s="32" t="s">
        <v>24</v>
      </c>
      <c r="D155" s="24">
        <v>57</v>
      </c>
      <c r="E155" s="14" t="s">
        <v>469</v>
      </c>
      <c r="F155" s="17"/>
      <c r="G155" s="15">
        <v>67900</v>
      </c>
      <c r="H155" s="16">
        <v>4</v>
      </c>
    </row>
    <row r="156" spans="1:8" x14ac:dyDescent="0.3">
      <c r="A156" s="31" t="s">
        <v>468</v>
      </c>
      <c r="B156" s="32" t="s">
        <v>467</v>
      </c>
      <c r="C156" s="32" t="s">
        <v>24</v>
      </c>
      <c r="D156" s="24">
        <v>49</v>
      </c>
      <c r="E156" s="14" t="s">
        <v>466</v>
      </c>
      <c r="F156" s="17"/>
      <c r="G156" s="15">
        <v>46700</v>
      </c>
      <c r="H156" s="16">
        <v>4</v>
      </c>
    </row>
    <row r="157" spans="1:8" x14ac:dyDescent="0.3">
      <c r="A157" s="31" t="s">
        <v>465</v>
      </c>
      <c r="B157" s="32" t="s">
        <v>464</v>
      </c>
      <c r="C157" s="32" t="s">
        <v>11</v>
      </c>
      <c r="D157" s="24">
        <v>50</v>
      </c>
      <c r="E157" s="14" t="s">
        <v>463</v>
      </c>
      <c r="F157" s="17"/>
      <c r="G157" s="15">
        <v>45900</v>
      </c>
      <c r="H157" s="16">
        <v>3</v>
      </c>
    </row>
    <row r="158" spans="1:8" x14ac:dyDescent="0.3">
      <c r="A158" s="31" t="s">
        <v>462</v>
      </c>
      <c r="B158" s="32" t="s">
        <v>461</v>
      </c>
      <c r="C158" s="32" t="s">
        <v>11</v>
      </c>
      <c r="D158" s="24">
        <v>42</v>
      </c>
      <c r="E158" s="14" t="s">
        <v>460</v>
      </c>
      <c r="F158" s="14" t="s">
        <v>125</v>
      </c>
      <c r="G158" s="15">
        <v>42500</v>
      </c>
      <c r="H158" s="16">
        <v>3</v>
      </c>
    </row>
    <row r="159" spans="1:8" x14ac:dyDescent="0.3">
      <c r="A159" s="31" t="s">
        <v>459</v>
      </c>
      <c r="B159" s="32" t="s">
        <v>458</v>
      </c>
      <c r="C159" s="32" t="s">
        <v>64</v>
      </c>
      <c r="D159" s="24">
        <v>49</v>
      </c>
      <c r="E159" s="14" t="s">
        <v>457</v>
      </c>
      <c r="F159" s="17"/>
      <c r="G159" s="15">
        <v>36900</v>
      </c>
      <c r="H159" s="16">
        <v>2</v>
      </c>
    </row>
    <row r="160" spans="1:8" x14ac:dyDescent="0.3">
      <c r="A160" s="31" t="s">
        <v>456</v>
      </c>
      <c r="B160" s="32" t="s">
        <v>455</v>
      </c>
      <c r="C160" s="32" t="s">
        <v>24</v>
      </c>
      <c r="D160" s="24">
        <v>57</v>
      </c>
      <c r="E160" s="14" t="s">
        <v>454</v>
      </c>
      <c r="F160" s="17"/>
      <c r="G160" s="15">
        <v>53900</v>
      </c>
      <c r="H160" s="16">
        <v>5</v>
      </c>
    </row>
    <row r="161" spans="1:8" x14ac:dyDescent="0.3">
      <c r="A161" s="31" t="s">
        <v>453</v>
      </c>
      <c r="B161" s="32" t="s">
        <v>452</v>
      </c>
      <c r="C161" s="32" t="s">
        <v>15</v>
      </c>
      <c r="D161" s="24">
        <v>41</v>
      </c>
      <c r="E161" s="14" t="s">
        <v>451</v>
      </c>
      <c r="F161" s="14" t="s">
        <v>450</v>
      </c>
      <c r="G161" s="15">
        <v>46100</v>
      </c>
      <c r="H161" s="16">
        <v>4</v>
      </c>
    </row>
    <row r="162" spans="1:8" x14ac:dyDescent="0.3">
      <c r="A162" s="31" t="s">
        <v>449</v>
      </c>
      <c r="B162" s="32" t="s">
        <v>448</v>
      </c>
      <c r="C162" s="32" t="s">
        <v>15</v>
      </c>
      <c r="D162" s="24">
        <v>57</v>
      </c>
      <c r="E162" s="14" t="s">
        <v>447</v>
      </c>
      <c r="F162" s="14" t="s">
        <v>446</v>
      </c>
      <c r="G162" s="15">
        <v>54800</v>
      </c>
      <c r="H162" s="16">
        <v>4</v>
      </c>
    </row>
    <row r="163" spans="1:8" x14ac:dyDescent="0.3">
      <c r="A163" s="31" t="s">
        <v>445</v>
      </c>
      <c r="B163" s="32" t="s">
        <v>444</v>
      </c>
      <c r="C163" s="32" t="s">
        <v>24</v>
      </c>
      <c r="D163" s="24">
        <v>57</v>
      </c>
      <c r="E163" s="14" t="s">
        <v>443</v>
      </c>
      <c r="F163" s="17"/>
      <c r="G163" s="15">
        <v>59800</v>
      </c>
      <c r="H163" s="16">
        <v>4</v>
      </c>
    </row>
    <row r="164" spans="1:8" x14ac:dyDescent="0.3">
      <c r="A164" s="31" t="s">
        <v>442</v>
      </c>
      <c r="B164" s="32" t="s">
        <v>441</v>
      </c>
      <c r="C164" s="32" t="s">
        <v>15</v>
      </c>
      <c r="D164" s="24">
        <v>41</v>
      </c>
      <c r="E164" s="14" t="s">
        <v>440</v>
      </c>
      <c r="F164" s="17"/>
      <c r="G164" s="15">
        <v>45400</v>
      </c>
      <c r="H164" s="16">
        <v>2</v>
      </c>
    </row>
    <row r="165" spans="1:8" x14ac:dyDescent="0.3">
      <c r="A165" s="31" t="s">
        <v>439</v>
      </c>
      <c r="B165" s="32" t="s">
        <v>438</v>
      </c>
      <c r="C165" s="32" t="s">
        <v>19</v>
      </c>
      <c r="D165" s="24">
        <v>23</v>
      </c>
      <c r="E165" s="14" t="s">
        <v>437</v>
      </c>
      <c r="F165" s="17"/>
      <c r="G165" s="15">
        <v>35200</v>
      </c>
      <c r="H165" s="16">
        <v>3</v>
      </c>
    </row>
    <row r="166" spans="1:8" x14ac:dyDescent="0.3">
      <c r="A166" s="31" t="s">
        <v>436</v>
      </c>
      <c r="B166" s="32" t="s">
        <v>435</v>
      </c>
      <c r="C166" s="32" t="s">
        <v>15</v>
      </c>
      <c r="D166" s="24">
        <v>41</v>
      </c>
      <c r="E166" s="14" t="s">
        <v>434</v>
      </c>
      <c r="F166" s="17"/>
      <c r="G166" s="15">
        <v>63600</v>
      </c>
      <c r="H166" s="16">
        <v>4</v>
      </c>
    </row>
    <row r="167" spans="1:8" x14ac:dyDescent="0.3">
      <c r="A167" s="31" t="s">
        <v>433</v>
      </c>
      <c r="B167" s="32" t="s">
        <v>56</v>
      </c>
      <c r="C167" s="32" t="s">
        <v>19</v>
      </c>
      <c r="D167" s="24">
        <v>25</v>
      </c>
      <c r="E167" s="14" t="s">
        <v>432</v>
      </c>
      <c r="F167" s="14" t="s">
        <v>431</v>
      </c>
      <c r="G167" s="15">
        <v>45900</v>
      </c>
      <c r="H167" s="16">
        <v>3</v>
      </c>
    </row>
    <row r="168" spans="1:8" x14ac:dyDescent="0.3">
      <c r="A168" s="31" t="s">
        <v>430</v>
      </c>
      <c r="B168" s="32" t="s">
        <v>429</v>
      </c>
      <c r="C168" s="32" t="s">
        <v>15</v>
      </c>
      <c r="D168" s="24">
        <v>35</v>
      </c>
      <c r="E168" s="14" t="s">
        <v>428</v>
      </c>
      <c r="F168" s="17"/>
      <c r="G168" s="15">
        <v>49300</v>
      </c>
      <c r="H168" s="16">
        <v>2</v>
      </c>
    </row>
    <row r="169" spans="1:8" x14ac:dyDescent="0.3">
      <c r="A169" s="31" t="s">
        <v>427</v>
      </c>
      <c r="B169" s="32" t="s">
        <v>92</v>
      </c>
      <c r="C169" s="32" t="s">
        <v>24</v>
      </c>
      <c r="D169" s="24">
        <v>41</v>
      </c>
      <c r="E169" s="14" t="s">
        <v>426</v>
      </c>
      <c r="F169" s="14" t="s">
        <v>425</v>
      </c>
      <c r="G169" s="15">
        <v>45300</v>
      </c>
      <c r="H169" s="16">
        <v>3</v>
      </c>
    </row>
    <row r="170" spans="1:8" x14ac:dyDescent="0.3">
      <c r="A170" s="31" t="s">
        <v>424</v>
      </c>
      <c r="B170" s="32" t="s">
        <v>423</v>
      </c>
      <c r="C170" s="32" t="s">
        <v>15</v>
      </c>
      <c r="D170" s="24">
        <v>40</v>
      </c>
      <c r="E170" s="14" t="s">
        <v>422</v>
      </c>
      <c r="F170" s="14" t="s">
        <v>421</v>
      </c>
      <c r="G170" s="15">
        <v>58900</v>
      </c>
      <c r="H170" s="16">
        <v>3</v>
      </c>
    </row>
    <row r="171" spans="1:8" x14ac:dyDescent="0.3">
      <c r="A171" s="31" t="s">
        <v>420</v>
      </c>
      <c r="B171" s="32" t="s">
        <v>419</v>
      </c>
      <c r="C171" s="32" t="s">
        <v>59</v>
      </c>
      <c r="D171" s="24">
        <v>36</v>
      </c>
      <c r="E171" s="14" t="s">
        <v>418</v>
      </c>
      <c r="F171" s="17"/>
      <c r="G171" s="15">
        <v>45000</v>
      </c>
      <c r="H171" s="16">
        <v>3</v>
      </c>
    </row>
    <row r="172" spans="1:8" x14ac:dyDescent="0.3">
      <c r="A172" s="31" t="s">
        <v>417</v>
      </c>
      <c r="B172" s="32" t="s">
        <v>416</v>
      </c>
      <c r="C172" s="32" t="s">
        <v>11</v>
      </c>
      <c r="D172" s="24">
        <v>23</v>
      </c>
      <c r="E172" s="14" t="s">
        <v>415</v>
      </c>
      <c r="F172" s="17"/>
      <c r="G172" s="15">
        <v>46700</v>
      </c>
      <c r="H172" s="16">
        <v>4</v>
      </c>
    </row>
    <row r="173" spans="1:8" x14ac:dyDescent="0.3">
      <c r="A173" s="31" t="s">
        <v>414</v>
      </c>
      <c r="B173" s="32" t="s">
        <v>413</v>
      </c>
      <c r="C173" s="32" t="s">
        <v>59</v>
      </c>
      <c r="D173" s="24">
        <v>48</v>
      </c>
      <c r="E173" s="14" t="s">
        <v>412</v>
      </c>
      <c r="F173" s="14" t="s">
        <v>411</v>
      </c>
      <c r="G173" s="15">
        <v>52200</v>
      </c>
      <c r="H173" s="16">
        <v>3</v>
      </c>
    </row>
    <row r="174" spans="1:8" x14ac:dyDescent="0.3">
      <c r="A174" s="31" t="s">
        <v>410</v>
      </c>
      <c r="B174" s="32" t="s">
        <v>409</v>
      </c>
      <c r="C174" s="32" t="s">
        <v>59</v>
      </c>
      <c r="D174" s="24">
        <v>45</v>
      </c>
      <c r="E174" s="14" t="s">
        <v>408</v>
      </c>
      <c r="F174" s="17"/>
      <c r="G174" s="15">
        <v>31500</v>
      </c>
      <c r="H174" s="16">
        <v>3</v>
      </c>
    </row>
    <row r="175" spans="1:8" x14ac:dyDescent="0.3">
      <c r="A175" s="31" t="s">
        <v>407</v>
      </c>
      <c r="B175" s="32" t="s">
        <v>109</v>
      </c>
      <c r="C175" s="32" t="s">
        <v>64</v>
      </c>
      <c r="D175" s="24">
        <v>47</v>
      </c>
      <c r="E175" s="14" t="s">
        <v>406</v>
      </c>
      <c r="F175" s="17"/>
      <c r="G175" s="15">
        <v>33300</v>
      </c>
      <c r="H175" s="16">
        <v>4</v>
      </c>
    </row>
    <row r="176" spans="1:8" x14ac:dyDescent="0.3">
      <c r="A176" s="31" t="s">
        <v>405</v>
      </c>
      <c r="B176" s="32" t="s">
        <v>404</v>
      </c>
      <c r="C176" s="32" t="s">
        <v>59</v>
      </c>
      <c r="D176" s="24">
        <v>29</v>
      </c>
      <c r="E176" s="14" t="s">
        <v>403</v>
      </c>
      <c r="F176" s="17"/>
      <c r="G176" s="15">
        <v>50700</v>
      </c>
      <c r="H176" s="16">
        <v>3</v>
      </c>
    </row>
    <row r="177" spans="1:8" x14ac:dyDescent="0.3">
      <c r="A177" s="31" t="s">
        <v>402</v>
      </c>
      <c r="B177" s="32" t="s">
        <v>401</v>
      </c>
      <c r="C177" s="32" t="s">
        <v>64</v>
      </c>
      <c r="D177" s="24">
        <v>31</v>
      </c>
      <c r="E177" s="14" t="s">
        <v>400</v>
      </c>
      <c r="F177" s="14" t="s">
        <v>399</v>
      </c>
      <c r="G177" s="15">
        <v>31700</v>
      </c>
      <c r="H177" s="16">
        <v>4</v>
      </c>
    </row>
    <row r="178" spans="1:8" x14ac:dyDescent="0.3">
      <c r="A178" s="31" t="s">
        <v>398</v>
      </c>
      <c r="B178" s="32" t="s">
        <v>397</v>
      </c>
      <c r="C178" s="32" t="s">
        <v>59</v>
      </c>
      <c r="D178" s="24">
        <v>53</v>
      </c>
      <c r="E178" s="14" t="s">
        <v>396</v>
      </c>
      <c r="F178" s="17"/>
      <c r="G178" s="15">
        <v>47200</v>
      </c>
      <c r="H178" s="16">
        <v>3</v>
      </c>
    </row>
    <row r="179" spans="1:8" x14ac:dyDescent="0.3">
      <c r="A179" s="31" t="s">
        <v>395</v>
      </c>
      <c r="B179" s="32" t="s">
        <v>394</v>
      </c>
      <c r="C179" s="32" t="s">
        <v>15</v>
      </c>
      <c r="D179" s="24">
        <v>42</v>
      </c>
      <c r="E179" s="14" t="s">
        <v>393</v>
      </c>
      <c r="F179" s="17"/>
      <c r="G179" s="15">
        <v>52300</v>
      </c>
      <c r="H179" s="16">
        <v>4</v>
      </c>
    </row>
    <row r="180" spans="1:8" x14ac:dyDescent="0.3">
      <c r="A180" s="31" t="s">
        <v>392</v>
      </c>
      <c r="B180" s="32" t="s">
        <v>391</v>
      </c>
      <c r="C180" s="32" t="s">
        <v>64</v>
      </c>
      <c r="D180" s="24">
        <v>44</v>
      </c>
      <c r="E180" s="14" t="s">
        <v>390</v>
      </c>
      <c r="F180" s="14" t="s">
        <v>389</v>
      </c>
      <c r="G180" s="15">
        <v>38800</v>
      </c>
      <c r="H180" s="16">
        <v>2</v>
      </c>
    </row>
    <row r="181" spans="1:8" x14ac:dyDescent="0.3">
      <c r="A181" s="31" t="s">
        <v>388</v>
      </c>
      <c r="B181" s="32" t="s">
        <v>387</v>
      </c>
      <c r="C181" s="32" t="s">
        <v>59</v>
      </c>
      <c r="D181" s="24">
        <v>27</v>
      </c>
      <c r="E181" s="14" t="s">
        <v>386</v>
      </c>
      <c r="F181" s="17"/>
      <c r="G181" s="15">
        <v>38200</v>
      </c>
      <c r="H181" s="16">
        <v>4</v>
      </c>
    </row>
    <row r="182" spans="1:8" x14ac:dyDescent="0.3">
      <c r="A182" s="31" t="s">
        <v>385</v>
      </c>
      <c r="B182" s="32" t="s">
        <v>384</v>
      </c>
      <c r="C182" s="32" t="s">
        <v>24</v>
      </c>
      <c r="D182" s="24">
        <v>34</v>
      </c>
      <c r="E182" s="14" t="s">
        <v>383</v>
      </c>
      <c r="F182" s="17"/>
      <c r="G182" s="15">
        <v>56000</v>
      </c>
      <c r="H182" s="16">
        <v>5</v>
      </c>
    </row>
    <row r="183" spans="1:8" x14ac:dyDescent="0.3">
      <c r="A183" s="31" t="s">
        <v>382</v>
      </c>
      <c r="B183" s="32" t="s">
        <v>381</v>
      </c>
      <c r="C183" s="32" t="s">
        <v>15</v>
      </c>
      <c r="D183" s="24">
        <v>27</v>
      </c>
      <c r="E183" s="14" t="s">
        <v>380</v>
      </c>
      <c r="F183" s="17"/>
      <c r="G183" s="15">
        <v>41900</v>
      </c>
      <c r="H183" s="16">
        <v>4</v>
      </c>
    </row>
    <row r="184" spans="1:8" x14ac:dyDescent="0.3">
      <c r="A184" s="31" t="s">
        <v>379</v>
      </c>
      <c r="B184" s="32" t="s">
        <v>99</v>
      </c>
      <c r="C184" s="32" t="s">
        <v>24</v>
      </c>
      <c r="D184" s="24">
        <v>32</v>
      </c>
      <c r="E184" s="14" t="s">
        <v>378</v>
      </c>
      <c r="F184" s="17"/>
      <c r="G184" s="15">
        <v>50800</v>
      </c>
      <c r="H184" s="16">
        <v>3</v>
      </c>
    </row>
    <row r="185" spans="1:8" x14ac:dyDescent="0.3">
      <c r="A185" s="31" t="s">
        <v>377</v>
      </c>
      <c r="B185" s="32" t="s">
        <v>376</v>
      </c>
      <c r="C185" s="32" t="s">
        <v>64</v>
      </c>
      <c r="D185" s="24">
        <v>43</v>
      </c>
      <c r="E185" s="14" t="s">
        <v>375</v>
      </c>
      <c r="F185" s="17"/>
      <c r="G185" s="15">
        <v>41400</v>
      </c>
      <c r="H185" s="16">
        <v>3</v>
      </c>
    </row>
    <row r="186" spans="1:8" x14ac:dyDescent="0.3">
      <c r="A186" s="31" t="s">
        <v>374</v>
      </c>
      <c r="B186" s="32" t="s">
        <v>163</v>
      </c>
      <c r="C186" s="32" t="s">
        <v>19</v>
      </c>
      <c r="D186" s="24">
        <v>43</v>
      </c>
      <c r="E186" s="14" t="s">
        <v>373</v>
      </c>
      <c r="F186" s="17"/>
      <c r="G186" s="15">
        <v>33400</v>
      </c>
      <c r="H186" s="16">
        <v>3</v>
      </c>
    </row>
    <row r="187" spans="1:8" x14ac:dyDescent="0.3">
      <c r="A187" s="31" t="s">
        <v>372</v>
      </c>
      <c r="B187" s="32" t="s">
        <v>371</v>
      </c>
      <c r="C187" s="32" t="s">
        <v>24</v>
      </c>
      <c r="D187" s="24">
        <v>27</v>
      </c>
      <c r="E187" s="14" t="s">
        <v>370</v>
      </c>
      <c r="F187" s="17"/>
      <c r="G187" s="15">
        <v>59400</v>
      </c>
      <c r="H187" s="16">
        <v>3</v>
      </c>
    </row>
    <row r="188" spans="1:8" x14ac:dyDescent="0.3">
      <c r="A188" s="31" t="s">
        <v>369</v>
      </c>
      <c r="B188" s="32" t="s">
        <v>368</v>
      </c>
      <c r="C188" s="32" t="s">
        <v>64</v>
      </c>
      <c r="D188" s="24">
        <v>49</v>
      </c>
      <c r="E188" s="14" t="s">
        <v>367</v>
      </c>
      <c r="F188" s="17"/>
      <c r="G188" s="15">
        <v>36700</v>
      </c>
      <c r="H188" s="16">
        <v>3</v>
      </c>
    </row>
    <row r="189" spans="1:8" x14ac:dyDescent="0.3">
      <c r="A189" s="31" t="s">
        <v>366</v>
      </c>
      <c r="B189" s="32" t="s">
        <v>365</v>
      </c>
      <c r="C189" s="32" t="s">
        <v>11</v>
      </c>
      <c r="D189" s="24">
        <v>34</v>
      </c>
      <c r="E189" s="14" t="s">
        <v>364</v>
      </c>
      <c r="F189" s="17"/>
      <c r="G189" s="15">
        <v>29700</v>
      </c>
      <c r="H189" s="16">
        <v>3</v>
      </c>
    </row>
    <row r="190" spans="1:8" x14ac:dyDescent="0.3">
      <c r="A190" s="31" t="s">
        <v>363</v>
      </c>
      <c r="B190" s="32" t="s">
        <v>362</v>
      </c>
      <c r="C190" s="32" t="s">
        <v>24</v>
      </c>
      <c r="D190" s="24">
        <v>55</v>
      </c>
      <c r="E190" s="14" t="s">
        <v>361</v>
      </c>
      <c r="F190" s="17"/>
      <c r="G190" s="15">
        <v>65000</v>
      </c>
      <c r="H190" s="16">
        <v>4</v>
      </c>
    </row>
    <row r="191" spans="1:8" x14ac:dyDescent="0.3">
      <c r="A191" s="31" t="s">
        <v>360</v>
      </c>
      <c r="B191" s="32" t="s">
        <v>359</v>
      </c>
      <c r="C191" s="32" t="s">
        <v>19</v>
      </c>
      <c r="D191" s="24">
        <v>32</v>
      </c>
      <c r="E191" s="14" t="s">
        <v>358</v>
      </c>
      <c r="F191" s="17"/>
      <c r="G191" s="15">
        <v>48500</v>
      </c>
      <c r="H191" s="16">
        <v>4</v>
      </c>
    </row>
    <row r="192" spans="1:8" x14ac:dyDescent="0.3">
      <c r="A192" s="31" t="s">
        <v>357</v>
      </c>
      <c r="B192" s="32" t="s">
        <v>356</v>
      </c>
      <c r="C192" s="32" t="s">
        <v>64</v>
      </c>
      <c r="D192" s="24">
        <v>48</v>
      </c>
      <c r="E192" s="14" t="s">
        <v>355</v>
      </c>
      <c r="F192" s="17"/>
      <c r="G192" s="15">
        <v>33700</v>
      </c>
      <c r="H192" s="16">
        <v>3</v>
      </c>
    </row>
    <row r="193" spans="1:8" x14ac:dyDescent="0.3">
      <c r="A193" s="31" t="s">
        <v>354</v>
      </c>
      <c r="B193" s="32" t="s">
        <v>353</v>
      </c>
      <c r="C193" s="32" t="s">
        <v>19</v>
      </c>
      <c r="D193" s="24">
        <v>56</v>
      </c>
      <c r="E193" s="14" t="s">
        <v>352</v>
      </c>
      <c r="F193" s="17"/>
      <c r="G193" s="15">
        <v>49400</v>
      </c>
      <c r="H193" s="16">
        <v>3</v>
      </c>
    </row>
    <row r="194" spans="1:8" x14ac:dyDescent="0.3">
      <c r="A194" s="31" t="s">
        <v>351</v>
      </c>
      <c r="B194" s="32" t="s">
        <v>350</v>
      </c>
      <c r="C194" s="32" t="s">
        <v>59</v>
      </c>
      <c r="D194" s="24">
        <v>58</v>
      </c>
      <c r="E194" s="14" t="s">
        <v>349</v>
      </c>
      <c r="F194" s="17"/>
      <c r="G194" s="15">
        <v>35800</v>
      </c>
      <c r="H194" s="16">
        <v>3</v>
      </c>
    </row>
    <row r="195" spans="1:8" x14ac:dyDescent="0.3">
      <c r="A195" s="31" t="s">
        <v>348</v>
      </c>
      <c r="B195" s="32" t="s">
        <v>347</v>
      </c>
      <c r="C195" s="32" t="s">
        <v>19</v>
      </c>
      <c r="D195" s="24">
        <v>34</v>
      </c>
      <c r="E195" s="14" t="s">
        <v>346</v>
      </c>
      <c r="F195" s="17"/>
      <c r="G195" s="15">
        <v>51000</v>
      </c>
      <c r="H195" s="16">
        <v>2</v>
      </c>
    </row>
    <row r="196" spans="1:8" x14ac:dyDescent="0.3">
      <c r="A196" s="31" t="s">
        <v>345</v>
      </c>
      <c r="B196" s="32" t="s">
        <v>344</v>
      </c>
      <c r="C196" s="32" t="s">
        <v>24</v>
      </c>
      <c r="D196" s="24">
        <v>28</v>
      </c>
      <c r="E196" s="14" t="s">
        <v>343</v>
      </c>
      <c r="F196" s="17"/>
      <c r="G196" s="15">
        <v>64400</v>
      </c>
      <c r="H196" s="16">
        <v>3</v>
      </c>
    </row>
    <row r="197" spans="1:8" x14ac:dyDescent="0.3">
      <c r="A197" s="31" t="s">
        <v>342</v>
      </c>
      <c r="B197" s="32" t="s">
        <v>341</v>
      </c>
      <c r="C197" s="32" t="s">
        <v>11</v>
      </c>
      <c r="D197" s="24">
        <v>54</v>
      </c>
      <c r="E197" s="14" t="s">
        <v>340</v>
      </c>
      <c r="F197" s="17"/>
      <c r="G197" s="15">
        <v>28200</v>
      </c>
      <c r="H197" s="16">
        <v>5</v>
      </c>
    </row>
    <row r="198" spans="1:8" x14ac:dyDescent="0.3">
      <c r="A198" s="31" t="s">
        <v>339</v>
      </c>
      <c r="B198" s="32" t="s">
        <v>286</v>
      </c>
      <c r="C198" s="32" t="s">
        <v>64</v>
      </c>
      <c r="D198" s="24">
        <v>48</v>
      </c>
      <c r="E198" s="14" t="s">
        <v>338</v>
      </c>
      <c r="F198" s="17"/>
      <c r="G198" s="15">
        <v>37000</v>
      </c>
      <c r="H198" s="16">
        <v>3</v>
      </c>
    </row>
    <row r="199" spans="1:8" x14ac:dyDescent="0.3">
      <c r="A199" s="31" t="s">
        <v>337</v>
      </c>
      <c r="B199" s="32" t="s">
        <v>336</v>
      </c>
      <c r="C199" s="32" t="s">
        <v>19</v>
      </c>
      <c r="D199" s="24">
        <v>23</v>
      </c>
      <c r="E199" s="14" t="s">
        <v>335</v>
      </c>
      <c r="F199" s="17"/>
      <c r="G199" s="15">
        <v>50100</v>
      </c>
      <c r="H199" s="16">
        <v>4</v>
      </c>
    </row>
    <row r="200" spans="1:8" x14ac:dyDescent="0.3">
      <c r="A200" s="31" t="s">
        <v>334</v>
      </c>
      <c r="B200" s="32" t="s">
        <v>333</v>
      </c>
      <c r="C200" s="32" t="s">
        <v>64</v>
      </c>
      <c r="D200" s="24">
        <v>40</v>
      </c>
      <c r="E200" s="14" t="s">
        <v>332</v>
      </c>
      <c r="F200" s="17"/>
      <c r="G200" s="15">
        <v>47900</v>
      </c>
      <c r="H200" s="16">
        <v>4</v>
      </c>
    </row>
    <row r="201" spans="1:8" x14ac:dyDescent="0.3">
      <c r="A201" s="31" t="s">
        <v>331</v>
      </c>
      <c r="B201" s="32" t="s">
        <v>330</v>
      </c>
      <c r="C201" s="32" t="s">
        <v>24</v>
      </c>
      <c r="D201" s="24">
        <v>22</v>
      </c>
      <c r="E201" s="14" t="s">
        <v>329</v>
      </c>
      <c r="F201" s="14" t="s">
        <v>328</v>
      </c>
      <c r="G201" s="15">
        <v>64000</v>
      </c>
      <c r="H201" s="16">
        <v>4</v>
      </c>
    </row>
    <row r="202" spans="1:8" x14ac:dyDescent="0.3">
      <c r="A202" s="31" t="s">
        <v>327</v>
      </c>
      <c r="B202" s="32" t="s">
        <v>326</v>
      </c>
      <c r="C202" s="32" t="s">
        <v>11</v>
      </c>
      <c r="D202" s="24">
        <v>29</v>
      </c>
      <c r="E202" s="14" t="s">
        <v>325</v>
      </c>
      <c r="F202" s="17"/>
      <c r="G202" s="15">
        <v>33200</v>
      </c>
      <c r="H202" s="16">
        <v>1</v>
      </c>
    </row>
    <row r="203" spans="1:8" x14ac:dyDescent="0.3">
      <c r="A203" s="31" t="s">
        <v>324</v>
      </c>
      <c r="B203" s="32" t="s">
        <v>65</v>
      </c>
      <c r="C203" s="32" t="s">
        <v>11</v>
      </c>
      <c r="D203" s="24">
        <v>26</v>
      </c>
      <c r="E203" s="14" t="s">
        <v>323</v>
      </c>
      <c r="F203" s="17"/>
      <c r="G203" s="15">
        <v>38000</v>
      </c>
      <c r="H203" s="16">
        <v>4</v>
      </c>
    </row>
    <row r="204" spans="1:8" x14ac:dyDescent="0.3">
      <c r="A204" s="31" t="s">
        <v>322</v>
      </c>
      <c r="B204" s="32" t="s">
        <v>321</v>
      </c>
      <c r="C204" s="32" t="s">
        <v>19</v>
      </c>
      <c r="D204" s="24">
        <v>31</v>
      </c>
      <c r="E204" s="14" t="s">
        <v>320</v>
      </c>
      <c r="F204" s="17"/>
      <c r="G204" s="15">
        <v>44800</v>
      </c>
      <c r="H204" s="16">
        <v>3</v>
      </c>
    </row>
    <row r="205" spans="1:8" x14ac:dyDescent="0.3">
      <c r="A205" s="31" t="s">
        <v>319</v>
      </c>
      <c r="B205" s="32" t="s">
        <v>318</v>
      </c>
      <c r="C205" s="32" t="s">
        <v>59</v>
      </c>
      <c r="D205" s="24">
        <v>27</v>
      </c>
      <c r="E205" s="14" t="s">
        <v>317</v>
      </c>
      <c r="F205" s="17"/>
      <c r="G205" s="15">
        <v>30600</v>
      </c>
      <c r="H205" s="16">
        <v>4</v>
      </c>
    </row>
    <row r="206" spans="1:8" x14ac:dyDescent="0.3">
      <c r="A206" s="31" t="s">
        <v>316</v>
      </c>
      <c r="B206" s="32" t="s">
        <v>315</v>
      </c>
      <c r="C206" s="32" t="s">
        <v>24</v>
      </c>
      <c r="D206" s="24">
        <v>23</v>
      </c>
      <c r="E206" s="14" t="s">
        <v>314</v>
      </c>
      <c r="F206" s="17"/>
      <c r="G206" s="15">
        <v>45000</v>
      </c>
      <c r="H206" s="16">
        <v>3</v>
      </c>
    </row>
    <row r="207" spans="1:8" x14ac:dyDescent="0.3">
      <c r="A207" s="31" t="s">
        <v>313</v>
      </c>
      <c r="B207" s="32" t="s">
        <v>312</v>
      </c>
      <c r="C207" s="32" t="s">
        <v>59</v>
      </c>
      <c r="D207" s="24">
        <v>23</v>
      </c>
      <c r="E207" s="14" t="s">
        <v>311</v>
      </c>
      <c r="F207" s="17"/>
      <c r="G207" s="15">
        <v>37300</v>
      </c>
      <c r="H207" s="16">
        <v>4</v>
      </c>
    </row>
    <row r="208" spans="1:8" x14ac:dyDescent="0.3">
      <c r="A208" s="31" t="s">
        <v>310</v>
      </c>
      <c r="B208" s="32" t="s">
        <v>309</v>
      </c>
      <c r="C208" s="32" t="s">
        <v>59</v>
      </c>
      <c r="D208" s="24">
        <v>43</v>
      </c>
      <c r="E208" s="14" t="s">
        <v>308</v>
      </c>
      <c r="F208" s="14" t="s">
        <v>307</v>
      </c>
      <c r="G208" s="15">
        <v>37100</v>
      </c>
      <c r="H208" s="16">
        <v>4</v>
      </c>
    </row>
    <row r="209" spans="1:8" x14ac:dyDescent="0.3">
      <c r="A209" s="31" t="s">
        <v>306</v>
      </c>
      <c r="B209" s="32" t="s">
        <v>305</v>
      </c>
      <c r="C209" s="32" t="s">
        <v>59</v>
      </c>
      <c r="D209" s="24">
        <v>33</v>
      </c>
      <c r="E209" s="14" t="s">
        <v>304</v>
      </c>
      <c r="F209" s="14" t="s">
        <v>303</v>
      </c>
      <c r="G209" s="15">
        <v>47600</v>
      </c>
      <c r="H209" s="16">
        <v>3</v>
      </c>
    </row>
    <row r="210" spans="1:8" x14ac:dyDescent="0.3">
      <c r="A210" s="31" t="s">
        <v>302</v>
      </c>
      <c r="B210" s="32" t="s">
        <v>301</v>
      </c>
      <c r="C210" s="32" t="s">
        <v>64</v>
      </c>
      <c r="D210" s="24">
        <v>34</v>
      </c>
      <c r="E210" s="14" t="s">
        <v>300</v>
      </c>
      <c r="F210" s="17"/>
      <c r="G210" s="15">
        <v>35400</v>
      </c>
      <c r="H210" s="16">
        <v>3</v>
      </c>
    </row>
    <row r="211" spans="1:8" x14ac:dyDescent="0.3">
      <c r="A211" s="31" t="s">
        <v>299</v>
      </c>
      <c r="B211" s="32" t="s">
        <v>44</v>
      </c>
      <c r="C211" s="32" t="s">
        <v>15</v>
      </c>
      <c r="D211" s="24">
        <v>24</v>
      </c>
      <c r="E211" s="14" t="s">
        <v>298</v>
      </c>
      <c r="F211" s="17"/>
      <c r="G211" s="15">
        <v>47900</v>
      </c>
      <c r="H211" s="16">
        <v>5</v>
      </c>
    </row>
    <row r="212" spans="1:8" x14ac:dyDescent="0.3">
      <c r="A212" s="31" t="s">
        <v>297</v>
      </c>
      <c r="B212" s="32" t="s">
        <v>296</v>
      </c>
      <c r="C212" s="32" t="s">
        <v>15</v>
      </c>
      <c r="D212" s="24">
        <v>29</v>
      </c>
      <c r="E212" s="14" t="s">
        <v>295</v>
      </c>
      <c r="F212" s="17"/>
      <c r="G212" s="15">
        <v>62300</v>
      </c>
      <c r="H212" s="16">
        <v>4</v>
      </c>
    </row>
    <row r="213" spans="1:8" x14ac:dyDescent="0.3">
      <c r="A213" s="31" t="s">
        <v>294</v>
      </c>
      <c r="B213" s="32" t="s">
        <v>166</v>
      </c>
      <c r="C213" s="32" t="s">
        <v>19</v>
      </c>
      <c r="D213" s="24">
        <v>53</v>
      </c>
      <c r="E213" s="14" t="s">
        <v>94</v>
      </c>
      <c r="F213" s="17"/>
      <c r="G213" s="15">
        <v>52200</v>
      </c>
      <c r="H213" s="16">
        <v>4</v>
      </c>
    </row>
    <row r="214" spans="1:8" x14ac:dyDescent="0.3">
      <c r="A214" s="31" t="s">
        <v>293</v>
      </c>
      <c r="B214" s="32" t="s">
        <v>292</v>
      </c>
      <c r="C214" s="32" t="s">
        <v>64</v>
      </c>
      <c r="D214" s="24">
        <v>49</v>
      </c>
      <c r="E214" s="14" t="s">
        <v>291</v>
      </c>
      <c r="F214" s="17"/>
      <c r="G214" s="15">
        <v>32300</v>
      </c>
      <c r="H214" s="16">
        <v>3</v>
      </c>
    </row>
    <row r="215" spans="1:8" x14ac:dyDescent="0.3">
      <c r="A215" s="31" t="s">
        <v>290</v>
      </c>
      <c r="B215" s="32" t="s">
        <v>289</v>
      </c>
      <c r="C215" s="32" t="s">
        <v>15</v>
      </c>
      <c r="D215" s="24">
        <v>40</v>
      </c>
      <c r="E215" s="14" t="s">
        <v>288</v>
      </c>
      <c r="F215" s="17"/>
      <c r="G215" s="15">
        <v>58200</v>
      </c>
      <c r="H215" s="16">
        <v>3</v>
      </c>
    </row>
    <row r="216" spans="1:8" x14ac:dyDescent="0.3">
      <c r="A216" s="31" t="s">
        <v>287</v>
      </c>
      <c r="B216" s="32" t="s">
        <v>286</v>
      </c>
      <c r="C216" s="32" t="s">
        <v>11</v>
      </c>
      <c r="D216" s="24">
        <v>24</v>
      </c>
      <c r="E216" s="14" t="s">
        <v>285</v>
      </c>
      <c r="F216" s="17"/>
      <c r="G216" s="15">
        <v>34500</v>
      </c>
      <c r="H216" s="16">
        <v>5</v>
      </c>
    </row>
    <row r="217" spans="1:8" x14ac:dyDescent="0.3">
      <c r="A217" s="31" t="s">
        <v>284</v>
      </c>
      <c r="B217" s="32" t="s">
        <v>50</v>
      </c>
      <c r="C217" s="32" t="s">
        <v>64</v>
      </c>
      <c r="D217" s="24">
        <v>47</v>
      </c>
      <c r="E217" s="14" t="s">
        <v>283</v>
      </c>
      <c r="F217" s="17"/>
      <c r="G217" s="15">
        <v>46000</v>
      </c>
      <c r="H217" s="16">
        <v>3</v>
      </c>
    </row>
    <row r="218" spans="1:8" x14ac:dyDescent="0.3">
      <c r="A218" s="31" t="s">
        <v>282</v>
      </c>
      <c r="B218" s="32" t="s">
        <v>281</v>
      </c>
      <c r="C218" s="32" t="s">
        <v>24</v>
      </c>
      <c r="D218" s="24">
        <v>50</v>
      </c>
      <c r="E218" s="14" t="s">
        <v>280</v>
      </c>
      <c r="F218" s="14" t="s">
        <v>279</v>
      </c>
      <c r="G218" s="15">
        <v>62700</v>
      </c>
      <c r="H218" s="16">
        <v>3</v>
      </c>
    </row>
    <row r="219" spans="1:8" x14ac:dyDescent="0.3">
      <c r="A219" s="31" t="s">
        <v>278</v>
      </c>
      <c r="B219" s="32" t="s">
        <v>277</v>
      </c>
      <c r="C219" s="32" t="s">
        <v>64</v>
      </c>
      <c r="D219" s="24">
        <v>31</v>
      </c>
      <c r="E219" s="14" t="s">
        <v>276</v>
      </c>
      <c r="F219" s="17"/>
      <c r="G219" s="15">
        <v>36900</v>
      </c>
      <c r="H219" s="16">
        <v>3</v>
      </c>
    </row>
    <row r="220" spans="1:8" x14ac:dyDescent="0.3">
      <c r="A220" s="31" t="s">
        <v>275</v>
      </c>
      <c r="B220" s="32" t="s">
        <v>274</v>
      </c>
      <c r="C220" s="32" t="s">
        <v>19</v>
      </c>
      <c r="D220" s="24">
        <v>55</v>
      </c>
      <c r="E220" s="14" t="s">
        <v>273</v>
      </c>
      <c r="F220" s="17"/>
      <c r="G220" s="15">
        <v>45600</v>
      </c>
      <c r="H220" s="16">
        <v>3</v>
      </c>
    </row>
    <row r="221" spans="1:8" x14ac:dyDescent="0.3">
      <c r="A221" s="31" t="s">
        <v>272</v>
      </c>
      <c r="B221" s="32" t="s">
        <v>271</v>
      </c>
      <c r="C221" s="32" t="s">
        <v>59</v>
      </c>
      <c r="D221" s="24">
        <v>33</v>
      </c>
      <c r="E221" s="14" t="s">
        <v>270</v>
      </c>
      <c r="F221" s="17"/>
      <c r="G221" s="15">
        <v>50900</v>
      </c>
      <c r="H221" s="16">
        <v>2</v>
      </c>
    </row>
    <row r="222" spans="1:8" x14ac:dyDescent="0.3">
      <c r="A222" s="31" t="s">
        <v>269</v>
      </c>
      <c r="B222" s="32" t="s">
        <v>268</v>
      </c>
      <c r="C222" s="32" t="s">
        <v>19</v>
      </c>
      <c r="D222" s="24">
        <v>40</v>
      </c>
      <c r="E222" s="14" t="s">
        <v>267</v>
      </c>
      <c r="F222" s="17"/>
      <c r="G222" s="15">
        <v>41800</v>
      </c>
      <c r="H222" s="16">
        <v>2</v>
      </c>
    </row>
    <row r="223" spans="1:8" x14ac:dyDescent="0.3">
      <c r="A223" s="31" t="s">
        <v>266</v>
      </c>
      <c r="B223" s="32" t="s">
        <v>265</v>
      </c>
      <c r="C223" s="32" t="s">
        <v>19</v>
      </c>
      <c r="D223" s="24">
        <v>50</v>
      </c>
      <c r="E223" s="14" t="s">
        <v>264</v>
      </c>
      <c r="F223" s="17"/>
      <c r="G223" s="15">
        <v>53200</v>
      </c>
      <c r="H223" s="16">
        <v>5</v>
      </c>
    </row>
    <row r="224" spans="1:8" x14ac:dyDescent="0.3">
      <c r="A224" s="31" t="s">
        <v>263</v>
      </c>
      <c r="B224" s="32" t="s">
        <v>262</v>
      </c>
      <c r="C224" s="32" t="s">
        <v>24</v>
      </c>
      <c r="D224" s="24">
        <v>56</v>
      </c>
      <c r="E224" s="14" t="s">
        <v>261</v>
      </c>
      <c r="F224" s="17"/>
      <c r="G224" s="15">
        <v>64400</v>
      </c>
      <c r="H224" s="16">
        <v>4</v>
      </c>
    </row>
    <row r="225" spans="1:8" x14ac:dyDescent="0.3">
      <c r="A225" s="31" t="s">
        <v>260</v>
      </c>
      <c r="B225" s="32" t="s">
        <v>259</v>
      </c>
      <c r="C225" s="32" t="s">
        <v>24</v>
      </c>
      <c r="D225" s="24">
        <v>36</v>
      </c>
      <c r="E225" s="14" t="s">
        <v>258</v>
      </c>
      <c r="F225" s="17"/>
      <c r="G225" s="15">
        <v>63000</v>
      </c>
      <c r="H225" s="16">
        <v>3</v>
      </c>
    </row>
    <row r="226" spans="1:8" x14ac:dyDescent="0.3">
      <c r="A226" s="31" t="s">
        <v>257</v>
      </c>
      <c r="B226" s="32" t="s">
        <v>256</v>
      </c>
      <c r="C226" s="32" t="s">
        <v>15</v>
      </c>
      <c r="D226" s="24">
        <v>57</v>
      </c>
      <c r="E226" s="14" t="s">
        <v>255</v>
      </c>
      <c r="F226" s="17"/>
      <c r="G226" s="15">
        <v>60300</v>
      </c>
      <c r="H226" s="16">
        <v>4</v>
      </c>
    </row>
    <row r="227" spans="1:8" x14ac:dyDescent="0.3">
      <c r="A227" s="31" t="s">
        <v>254</v>
      </c>
      <c r="B227" s="32" t="s">
        <v>253</v>
      </c>
      <c r="C227" s="32" t="s">
        <v>64</v>
      </c>
      <c r="D227" s="24">
        <v>41</v>
      </c>
      <c r="E227" s="14" t="s">
        <v>252</v>
      </c>
      <c r="F227" s="17"/>
      <c r="G227" s="15">
        <v>45300</v>
      </c>
      <c r="H227" s="16">
        <v>4</v>
      </c>
    </row>
    <row r="228" spans="1:8" x14ac:dyDescent="0.3">
      <c r="A228" s="31" t="s">
        <v>251</v>
      </c>
      <c r="B228" s="32" t="s">
        <v>250</v>
      </c>
      <c r="C228" s="32" t="s">
        <v>64</v>
      </c>
      <c r="D228" s="24">
        <v>30</v>
      </c>
      <c r="E228" s="14" t="s">
        <v>249</v>
      </c>
      <c r="F228" s="17"/>
      <c r="G228" s="15">
        <v>38800</v>
      </c>
      <c r="H228" s="16">
        <v>4</v>
      </c>
    </row>
    <row r="229" spans="1:8" x14ac:dyDescent="0.3">
      <c r="A229" s="31" t="s">
        <v>248</v>
      </c>
      <c r="B229" s="32" t="s">
        <v>154</v>
      </c>
      <c r="C229" s="32" t="s">
        <v>24</v>
      </c>
      <c r="D229" s="24">
        <v>33</v>
      </c>
      <c r="E229" s="14" t="s">
        <v>247</v>
      </c>
      <c r="F229" s="17"/>
      <c r="G229" s="15">
        <v>54400</v>
      </c>
      <c r="H229" s="16">
        <v>5</v>
      </c>
    </row>
    <row r="230" spans="1:8" x14ac:dyDescent="0.3">
      <c r="A230" s="31" t="s">
        <v>246</v>
      </c>
      <c r="B230" s="32" t="s">
        <v>245</v>
      </c>
      <c r="C230" s="32" t="s">
        <v>24</v>
      </c>
      <c r="D230" s="24">
        <v>31</v>
      </c>
      <c r="E230" s="14" t="s">
        <v>244</v>
      </c>
      <c r="F230" s="14" t="s">
        <v>243</v>
      </c>
      <c r="G230" s="15">
        <v>66400</v>
      </c>
      <c r="H230" s="16">
        <v>3</v>
      </c>
    </row>
    <row r="231" spans="1:8" x14ac:dyDescent="0.3">
      <c r="A231" s="31" t="s">
        <v>242</v>
      </c>
      <c r="B231" s="32" t="s">
        <v>241</v>
      </c>
      <c r="C231" s="32" t="s">
        <v>64</v>
      </c>
      <c r="D231" s="24">
        <v>38</v>
      </c>
      <c r="E231" s="14" t="s">
        <v>240</v>
      </c>
      <c r="F231" s="17"/>
      <c r="G231" s="15">
        <v>41200</v>
      </c>
      <c r="H231" s="16">
        <v>2</v>
      </c>
    </row>
    <row r="232" spans="1:8" x14ac:dyDescent="0.3">
      <c r="A232" s="31" t="s">
        <v>239</v>
      </c>
      <c r="B232" s="32" t="s">
        <v>238</v>
      </c>
      <c r="C232" s="32" t="s">
        <v>24</v>
      </c>
      <c r="D232" s="24">
        <v>27</v>
      </c>
      <c r="E232" s="14" t="s">
        <v>237</v>
      </c>
      <c r="F232" s="17"/>
      <c r="G232" s="15">
        <v>58200</v>
      </c>
      <c r="H232" s="16">
        <v>4</v>
      </c>
    </row>
    <row r="233" spans="1:8" x14ac:dyDescent="0.3">
      <c r="A233" s="31" t="s">
        <v>236</v>
      </c>
      <c r="B233" s="32" t="s">
        <v>235</v>
      </c>
      <c r="C233" s="32" t="s">
        <v>59</v>
      </c>
      <c r="D233" s="24">
        <v>43</v>
      </c>
      <c r="E233" s="14" t="s">
        <v>234</v>
      </c>
      <c r="F233" s="14" t="s">
        <v>233</v>
      </c>
      <c r="G233" s="15">
        <v>30900</v>
      </c>
      <c r="H233" s="16">
        <v>5</v>
      </c>
    </row>
    <row r="234" spans="1:8" x14ac:dyDescent="0.3">
      <c r="A234" s="31" t="s">
        <v>232</v>
      </c>
      <c r="B234" s="32" t="s">
        <v>231</v>
      </c>
      <c r="C234" s="32" t="s">
        <v>59</v>
      </c>
      <c r="D234" s="24">
        <v>35</v>
      </c>
      <c r="E234" s="14" t="s">
        <v>230</v>
      </c>
      <c r="F234" s="17"/>
      <c r="G234" s="15">
        <v>43800</v>
      </c>
      <c r="H234" s="16">
        <v>1</v>
      </c>
    </row>
    <row r="235" spans="1:8" x14ac:dyDescent="0.3">
      <c r="A235" s="31" t="s">
        <v>229</v>
      </c>
      <c r="B235" s="32" t="s">
        <v>228</v>
      </c>
      <c r="C235" s="32" t="s">
        <v>59</v>
      </c>
      <c r="D235" s="24">
        <v>41</v>
      </c>
      <c r="E235" s="14" t="s">
        <v>227</v>
      </c>
      <c r="F235" s="14" t="s">
        <v>226</v>
      </c>
      <c r="G235" s="15">
        <v>45400</v>
      </c>
      <c r="H235" s="16">
        <v>3</v>
      </c>
    </row>
    <row r="236" spans="1:8" x14ac:dyDescent="0.3">
      <c r="A236" s="31" t="s">
        <v>225</v>
      </c>
      <c r="B236" s="32" t="s">
        <v>224</v>
      </c>
      <c r="C236" s="32" t="s">
        <v>19</v>
      </c>
      <c r="D236" s="24">
        <v>50</v>
      </c>
      <c r="E236" s="14" t="s">
        <v>223</v>
      </c>
      <c r="F236" s="17"/>
      <c r="G236" s="15">
        <v>34900</v>
      </c>
      <c r="H236" s="16">
        <v>4</v>
      </c>
    </row>
    <row r="237" spans="1:8" x14ac:dyDescent="0.3">
      <c r="A237" s="31" t="s">
        <v>222</v>
      </c>
      <c r="B237" s="32" t="s">
        <v>221</v>
      </c>
      <c r="C237" s="32" t="s">
        <v>59</v>
      </c>
      <c r="D237" s="24">
        <v>44</v>
      </c>
      <c r="E237" s="14" t="s">
        <v>220</v>
      </c>
      <c r="F237" s="14" t="s">
        <v>219</v>
      </c>
      <c r="G237" s="15">
        <v>41400</v>
      </c>
      <c r="H237" s="16">
        <v>2</v>
      </c>
    </row>
    <row r="238" spans="1:8" x14ac:dyDescent="0.3">
      <c r="A238" s="31" t="s">
        <v>218</v>
      </c>
      <c r="B238" s="32" t="s">
        <v>217</v>
      </c>
      <c r="C238" s="32" t="s">
        <v>64</v>
      </c>
      <c r="D238" s="24">
        <v>39</v>
      </c>
      <c r="E238" s="14" t="s">
        <v>216</v>
      </c>
      <c r="F238" s="14" t="s">
        <v>215</v>
      </c>
      <c r="G238" s="15">
        <v>29200</v>
      </c>
      <c r="H238" s="16">
        <v>5</v>
      </c>
    </row>
    <row r="239" spans="1:8" x14ac:dyDescent="0.3">
      <c r="A239" s="31" t="s">
        <v>214</v>
      </c>
      <c r="B239" s="32" t="s">
        <v>213</v>
      </c>
      <c r="C239" s="32" t="s">
        <v>19</v>
      </c>
      <c r="D239" s="24">
        <v>32</v>
      </c>
      <c r="E239" s="14" t="s">
        <v>212</v>
      </c>
      <c r="F239" s="17"/>
      <c r="G239" s="15">
        <v>43900</v>
      </c>
      <c r="H239" s="16">
        <v>3</v>
      </c>
    </row>
    <row r="240" spans="1:8" x14ac:dyDescent="0.3">
      <c r="A240" s="31" t="s">
        <v>211</v>
      </c>
      <c r="B240" s="32" t="s">
        <v>210</v>
      </c>
      <c r="C240" s="32" t="s">
        <v>24</v>
      </c>
      <c r="D240" s="24">
        <v>51</v>
      </c>
      <c r="E240" s="14" t="s">
        <v>209</v>
      </c>
      <c r="F240" s="17"/>
      <c r="G240" s="15">
        <v>55900</v>
      </c>
      <c r="H240" s="16">
        <v>2</v>
      </c>
    </row>
    <row r="241" spans="1:8" x14ac:dyDescent="0.3">
      <c r="A241" s="31" t="s">
        <v>208</v>
      </c>
      <c r="B241" s="32" t="s">
        <v>109</v>
      </c>
      <c r="C241" s="32" t="s">
        <v>11</v>
      </c>
      <c r="D241" s="24">
        <v>37</v>
      </c>
      <c r="E241" s="14" t="s">
        <v>207</v>
      </c>
      <c r="F241" s="17"/>
      <c r="G241" s="15">
        <v>27200</v>
      </c>
      <c r="H241" s="16">
        <v>3</v>
      </c>
    </row>
    <row r="242" spans="1:8" x14ac:dyDescent="0.3">
      <c r="A242" s="31" t="s">
        <v>206</v>
      </c>
      <c r="B242" s="32" t="s">
        <v>179</v>
      </c>
      <c r="C242" s="32" t="s">
        <v>15</v>
      </c>
      <c r="D242" s="24">
        <v>56</v>
      </c>
      <c r="E242" s="14" t="s">
        <v>205</v>
      </c>
      <c r="F242" s="17"/>
      <c r="G242" s="15">
        <v>51300</v>
      </c>
      <c r="H242" s="16">
        <v>5</v>
      </c>
    </row>
    <row r="243" spans="1:8" x14ac:dyDescent="0.3">
      <c r="A243" s="31" t="s">
        <v>204</v>
      </c>
      <c r="B243" s="32" t="s">
        <v>203</v>
      </c>
      <c r="C243" s="32" t="s">
        <v>15</v>
      </c>
      <c r="D243" s="24">
        <v>24</v>
      </c>
      <c r="E243" s="14" t="s">
        <v>202</v>
      </c>
      <c r="F243" s="14" t="s">
        <v>201</v>
      </c>
      <c r="G243" s="15">
        <v>49700</v>
      </c>
      <c r="H243" s="16">
        <v>3</v>
      </c>
    </row>
    <row r="244" spans="1:8" x14ac:dyDescent="0.3">
      <c r="A244" s="31" t="s">
        <v>200</v>
      </c>
      <c r="B244" s="32" t="s">
        <v>199</v>
      </c>
      <c r="C244" s="32" t="s">
        <v>11</v>
      </c>
      <c r="D244" s="24">
        <v>57</v>
      </c>
      <c r="E244" s="14" t="s">
        <v>198</v>
      </c>
      <c r="F244" s="17"/>
      <c r="G244" s="15">
        <v>41000</v>
      </c>
      <c r="H244" s="16">
        <v>4</v>
      </c>
    </row>
    <row r="245" spans="1:8" x14ac:dyDescent="0.3">
      <c r="A245" s="31" t="s">
        <v>197</v>
      </c>
      <c r="B245" s="32" t="s">
        <v>148</v>
      </c>
      <c r="C245" s="32" t="s">
        <v>11</v>
      </c>
      <c r="D245" s="24">
        <v>45</v>
      </c>
      <c r="E245" s="14" t="s">
        <v>196</v>
      </c>
      <c r="F245" s="17"/>
      <c r="G245" s="15">
        <v>39400</v>
      </c>
      <c r="H245" s="16">
        <v>3</v>
      </c>
    </row>
    <row r="246" spans="1:8" x14ac:dyDescent="0.3">
      <c r="A246" s="31" t="s">
        <v>195</v>
      </c>
      <c r="B246" s="32" t="s">
        <v>194</v>
      </c>
      <c r="C246" s="32" t="s">
        <v>24</v>
      </c>
      <c r="D246" s="24">
        <v>54</v>
      </c>
      <c r="E246" s="14" t="s">
        <v>193</v>
      </c>
      <c r="F246" s="17"/>
      <c r="G246" s="15">
        <v>45100</v>
      </c>
      <c r="H246" s="16">
        <v>2</v>
      </c>
    </row>
    <row r="247" spans="1:8" x14ac:dyDescent="0.3">
      <c r="A247" s="31" t="s">
        <v>192</v>
      </c>
      <c r="B247" s="32" t="s">
        <v>191</v>
      </c>
      <c r="C247" s="32" t="s">
        <v>24</v>
      </c>
      <c r="D247" s="24">
        <v>51</v>
      </c>
      <c r="E247" s="14" t="s">
        <v>190</v>
      </c>
      <c r="F247" s="17"/>
      <c r="G247" s="15">
        <v>56400</v>
      </c>
      <c r="H247" s="16">
        <v>3</v>
      </c>
    </row>
    <row r="248" spans="1:8" x14ac:dyDescent="0.3">
      <c r="A248" s="31" t="s">
        <v>189</v>
      </c>
      <c r="B248" s="32" t="s">
        <v>188</v>
      </c>
      <c r="C248" s="32" t="s">
        <v>19</v>
      </c>
      <c r="D248" s="24">
        <v>47</v>
      </c>
      <c r="E248" s="14" t="s">
        <v>187</v>
      </c>
      <c r="F248" s="17"/>
      <c r="G248" s="15">
        <v>37200</v>
      </c>
      <c r="H248" s="16">
        <v>3</v>
      </c>
    </row>
    <row r="249" spans="1:8" x14ac:dyDescent="0.3">
      <c r="A249" s="31" t="s">
        <v>186</v>
      </c>
      <c r="B249" s="32" t="s">
        <v>185</v>
      </c>
      <c r="C249" s="32" t="s">
        <v>11</v>
      </c>
      <c r="D249" s="24">
        <v>58</v>
      </c>
      <c r="E249" s="14" t="s">
        <v>184</v>
      </c>
      <c r="F249" s="17"/>
      <c r="G249" s="15">
        <v>26400</v>
      </c>
      <c r="H249" s="16">
        <v>3</v>
      </c>
    </row>
    <row r="250" spans="1:8" x14ac:dyDescent="0.3">
      <c r="A250" s="31" t="s">
        <v>183</v>
      </c>
      <c r="B250" s="32" t="s">
        <v>182</v>
      </c>
      <c r="C250" s="32" t="s">
        <v>24</v>
      </c>
      <c r="D250" s="24">
        <v>41</v>
      </c>
      <c r="E250" s="14" t="s">
        <v>181</v>
      </c>
      <c r="F250" s="17"/>
      <c r="G250" s="15">
        <v>64900</v>
      </c>
      <c r="H250" s="16">
        <v>4</v>
      </c>
    </row>
    <row r="251" spans="1:8" x14ac:dyDescent="0.3">
      <c r="A251" s="31" t="s">
        <v>180</v>
      </c>
      <c r="B251" s="32" t="s">
        <v>179</v>
      </c>
      <c r="C251" s="32" t="s">
        <v>15</v>
      </c>
      <c r="D251" s="24">
        <v>58</v>
      </c>
      <c r="E251" s="14" t="s">
        <v>178</v>
      </c>
      <c r="F251" s="17"/>
      <c r="G251" s="15">
        <v>55000</v>
      </c>
      <c r="H251" s="16">
        <v>3</v>
      </c>
    </row>
    <row r="252" spans="1:8" x14ac:dyDescent="0.3">
      <c r="A252" s="31" t="s">
        <v>177</v>
      </c>
      <c r="B252" s="32" t="s">
        <v>176</v>
      </c>
      <c r="C252" s="32" t="s">
        <v>19</v>
      </c>
      <c r="D252" s="24">
        <v>37</v>
      </c>
      <c r="E252" s="14" t="s">
        <v>175</v>
      </c>
      <c r="F252" s="17"/>
      <c r="G252" s="15">
        <v>46800</v>
      </c>
      <c r="H252" s="16">
        <v>3</v>
      </c>
    </row>
    <row r="253" spans="1:8" x14ac:dyDescent="0.3">
      <c r="A253" s="31" t="s">
        <v>174</v>
      </c>
      <c r="B253" s="32" t="s">
        <v>173</v>
      </c>
      <c r="C253" s="32" t="s">
        <v>11</v>
      </c>
      <c r="D253" s="24">
        <v>31</v>
      </c>
      <c r="E253" s="14" t="s">
        <v>172</v>
      </c>
      <c r="F253" s="17"/>
      <c r="G253" s="15">
        <v>35800</v>
      </c>
      <c r="H253" s="16">
        <v>4</v>
      </c>
    </row>
    <row r="254" spans="1:8" x14ac:dyDescent="0.3">
      <c r="A254" s="31" t="s">
        <v>171</v>
      </c>
      <c r="B254" s="32" t="s">
        <v>170</v>
      </c>
      <c r="C254" s="32" t="s">
        <v>59</v>
      </c>
      <c r="D254" s="24">
        <v>30</v>
      </c>
      <c r="E254" s="14" t="s">
        <v>169</v>
      </c>
      <c r="F254" s="14" t="s">
        <v>168</v>
      </c>
      <c r="G254" s="15">
        <v>53000</v>
      </c>
      <c r="H254" s="16">
        <v>3</v>
      </c>
    </row>
    <row r="255" spans="1:8" x14ac:dyDescent="0.3">
      <c r="A255" s="31" t="s">
        <v>167</v>
      </c>
      <c r="B255" s="32" t="s">
        <v>166</v>
      </c>
      <c r="C255" s="32" t="s">
        <v>19</v>
      </c>
      <c r="D255" s="24">
        <v>51</v>
      </c>
      <c r="E255" s="14" t="s">
        <v>165</v>
      </c>
      <c r="F255" s="17"/>
      <c r="G255" s="15">
        <v>38500</v>
      </c>
      <c r="H255" s="16">
        <v>4</v>
      </c>
    </row>
    <row r="256" spans="1:8" x14ac:dyDescent="0.3">
      <c r="A256" s="31" t="s">
        <v>164</v>
      </c>
      <c r="B256" s="32" t="s">
        <v>163</v>
      </c>
      <c r="C256" s="32" t="s">
        <v>11</v>
      </c>
      <c r="D256" s="24">
        <v>34</v>
      </c>
      <c r="E256" s="14" t="s">
        <v>162</v>
      </c>
      <c r="F256" s="14" t="s">
        <v>161</v>
      </c>
      <c r="G256" s="15">
        <v>31400</v>
      </c>
      <c r="H256" s="16">
        <v>5</v>
      </c>
    </row>
    <row r="257" spans="1:8" x14ac:dyDescent="0.3">
      <c r="A257" s="31" t="s">
        <v>160</v>
      </c>
      <c r="B257" s="32" t="s">
        <v>159</v>
      </c>
      <c r="C257" s="32" t="s">
        <v>59</v>
      </c>
      <c r="D257" s="24">
        <v>35</v>
      </c>
      <c r="E257" s="14" t="s">
        <v>108</v>
      </c>
      <c r="F257" s="17"/>
      <c r="G257" s="15">
        <v>36600</v>
      </c>
      <c r="H257" s="16">
        <v>3</v>
      </c>
    </row>
    <row r="258" spans="1:8" x14ac:dyDescent="0.3">
      <c r="A258" s="31" t="s">
        <v>158</v>
      </c>
      <c r="B258" s="32" t="s">
        <v>157</v>
      </c>
      <c r="C258" s="32" t="s">
        <v>64</v>
      </c>
      <c r="D258" s="24">
        <v>58</v>
      </c>
      <c r="E258" s="14" t="s">
        <v>156</v>
      </c>
      <c r="F258" s="17"/>
      <c r="G258" s="15">
        <v>49500</v>
      </c>
      <c r="H258" s="16">
        <v>3</v>
      </c>
    </row>
    <row r="259" spans="1:8" x14ac:dyDescent="0.3">
      <c r="A259" s="31" t="s">
        <v>155</v>
      </c>
      <c r="B259" s="32" t="s">
        <v>154</v>
      </c>
      <c r="C259" s="32" t="s">
        <v>15</v>
      </c>
      <c r="D259" s="24">
        <v>24</v>
      </c>
      <c r="E259" s="14" t="s">
        <v>153</v>
      </c>
      <c r="F259" s="17"/>
      <c r="G259" s="15">
        <v>42900</v>
      </c>
      <c r="H259" s="16">
        <v>5</v>
      </c>
    </row>
    <row r="260" spans="1:8" x14ac:dyDescent="0.3">
      <c r="A260" s="31" t="s">
        <v>152</v>
      </c>
      <c r="B260" s="32" t="s">
        <v>151</v>
      </c>
      <c r="C260" s="32" t="s">
        <v>19</v>
      </c>
      <c r="D260" s="24">
        <v>34</v>
      </c>
      <c r="E260" s="14" t="s">
        <v>150</v>
      </c>
      <c r="F260" s="17"/>
      <c r="G260" s="15">
        <v>52400</v>
      </c>
      <c r="H260" s="16">
        <v>4</v>
      </c>
    </row>
    <row r="261" spans="1:8" x14ac:dyDescent="0.3">
      <c r="A261" s="31" t="s">
        <v>149</v>
      </c>
      <c r="B261" s="32" t="s">
        <v>148</v>
      </c>
      <c r="C261" s="32" t="s">
        <v>24</v>
      </c>
      <c r="D261" s="24">
        <v>37</v>
      </c>
      <c r="E261" s="14" t="s">
        <v>147</v>
      </c>
      <c r="F261" s="14" t="s">
        <v>146</v>
      </c>
      <c r="G261" s="15">
        <v>49400</v>
      </c>
      <c r="H261" s="16">
        <v>3</v>
      </c>
    </row>
    <row r="262" spans="1:8" x14ac:dyDescent="0.3">
      <c r="A262" s="31" t="s">
        <v>145</v>
      </c>
      <c r="B262" s="32" t="s">
        <v>144</v>
      </c>
      <c r="C262" s="32" t="s">
        <v>15</v>
      </c>
      <c r="D262" s="24">
        <v>52</v>
      </c>
      <c r="E262" s="14" t="s">
        <v>143</v>
      </c>
      <c r="F262" s="17"/>
      <c r="G262" s="15">
        <v>44300</v>
      </c>
      <c r="H262" s="16">
        <v>5</v>
      </c>
    </row>
    <row r="263" spans="1:8" x14ac:dyDescent="0.3">
      <c r="A263" s="31" t="s">
        <v>142</v>
      </c>
      <c r="B263" s="32" t="s">
        <v>141</v>
      </c>
      <c r="C263" s="32" t="s">
        <v>59</v>
      </c>
      <c r="D263" s="24">
        <v>52</v>
      </c>
      <c r="E263" s="14" t="s">
        <v>140</v>
      </c>
      <c r="F263" s="17"/>
      <c r="G263" s="15">
        <v>47100</v>
      </c>
      <c r="H263" s="16">
        <v>3</v>
      </c>
    </row>
    <row r="264" spans="1:8" x14ac:dyDescent="0.3">
      <c r="A264" s="31" t="s">
        <v>139</v>
      </c>
      <c r="B264" s="32" t="s">
        <v>133</v>
      </c>
      <c r="C264" s="32" t="s">
        <v>64</v>
      </c>
      <c r="D264" s="24">
        <v>58</v>
      </c>
      <c r="E264" s="14" t="s">
        <v>138</v>
      </c>
      <c r="F264" s="17"/>
      <c r="G264" s="15">
        <v>45400</v>
      </c>
      <c r="H264" s="16">
        <v>5</v>
      </c>
    </row>
    <row r="265" spans="1:8" x14ac:dyDescent="0.3">
      <c r="A265" s="31" t="s">
        <v>137</v>
      </c>
      <c r="B265" s="32" t="s">
        <v>136</v>
      </c>
      <c r="C265" s="32" t="s">
        <v>19</v>
      </c>
      <c r="D265" s="24">
        <v>24</v>
      </c>
      <c r="E265" s="14" t="s">
        <v>135</v>
      </c>
      <c r="F265" s="17"/>
      <c r="G265" s="15">
        <v>41900</v>
      </c>
      <c r="H265" s="16">
        <v>5</v>
      </c>
    </row>
    <row r="266" spans="1:8" x14ac:dyDescent="0.3">
      <c r="A266" s="31" t="s">
        <v>134</v>
      </c>
      <c r="B266" s="32" t="s">
        <v>133</v>
      </c>
      <c r="C266" s="32" t="s">
        <v>64</v>
      </c>
      <c r="D266" s="24">
        <v>41</v>
      </c>
      <c r="E266" s="14" t="s">
        <v>132</v>
      </c>
      <c r="F266" s="17"/>
      <c r="G266" s="15">
        <v>50300</v>
      </c>
      <c r="H266" s="16">
        <v>3</v>
      </c>
    </row>
    <row r="267" spans="1:8" x14ac:dyDescent="0.3">
      <c r="A267" s="31" t="s">
        <v>131</v>
      </c>
      <c r="B267" s="32" t="s">
        <v>130</v>
      </c>
      <c r="C267" s="32" t="s">
        <v>24</v>
      </c>
      <c r="D267" s="24">
        <v>53</v>
      </c>
      <c r="E267" s="14" t="s">
        <v>129</v>
      </c>
      <c r="F267" s="17"/>
      <c r="G267" s="15">
        <v>55200</v>
      </c>
      <c r="H267" s="16">
        <v>3</v>
      </c>
    </row>
    <row r="268" spans="1:8" x14ac:dyDescent="0.3">
      <c r="A268" s="31" t="s">
        <v>128</v>
      </c>
      <c r="B268" s="32" t="s">
        <v>127</v>
      </c>
      <c r="C268" s="32" t="s">
        <v>19</v>
      </c>
      <c r="D268" s="24">
        <v>51</v>
      </c>
      <c r="E268" s="14" t="s">
        <v>126</v>
      </c>
      <c r="F268" s="14" t="s">
        <v>125</v>
      </c>
      <c r="G268" s="15">
        <v>30300</v>
      </c>
      <c r="H268" s="16">
        <v>3</v>
      </c>
    </row>
    <row r="269" spans="1:8" x14ac:dyDescent="0.3">
      <c r="A269" s="31" t="s">
        <v>124</v>
      </c>
      <c r="B269" s="32" t="s">
        <v>123</v>
      </c>
      <c r="C269" s="32" t="s">
        <v>59</v>
      </c>
      <c r="D269" s="24">
        <v>34</v>
      </c>
      <c r="E269" s="14" t="s">
        <v>122</v>
      </c>
      <c r="F269" s="17"/>
      <c r="G269" s="15">
        <v>44300</v>
      </c>
      <c r="H269" s="16">
        <v>3</v>
      </c>
    </row>
    <row r="270" spans="1:8" x14ac:dyDescent="0.3">
      <c r="A270" s="31" t="s">
        <v>121</v>
      </c>
      <c r="B270" s="32" t="s">
        <v>120</v>
      </c>
      <c r="C270" s="32" t="s">
        <v>15</v>
      </c>
      <c r="D270" s="24">
        <v>27</v>
      </c>
      <c r="E270" s="14" t="s">
        <v>119</v>
      </c>
      <c r="F270" s="17"/>
      <c r="G270" s="15">
        <v>45400</v>
      </c>
      <c r="H270" s="16">
        <v>2</v>
      </c>
    </row>
    <row r="271" spans="1:8" x14ac:dyDescent="0.3">
      <c r="A271" s="31" t="s">
        <v>118</v>
      </c>
      <c r="B271" s="32" t="s">
        <v>117</v>
      </c>
      <c r="C271" s="32" t="s">
        <v>64</v>
      </c>
      <c r="D271" s="24">
        <v>38</v>
      </c>
      <c r="E271" s="14" t="s">
        <v>116</v>
      </c>
      <c r="F271" s="14" t="s">
        <v>115</v>
      </c>
      <c r="G271" s="15">
        <v>50900</v>
      </c>
      <c r="H271" s="16">
        <v>3</v>
      </c>
    </row>
    <row r="272" spans="1:8" x14ac:dyDescent="0.3">
      <c r="A272" s="31" t="s">
        <v>114</v>
      </c>
      <c r="B272" s="32" t="s">
        <v>113</v>
      </c>
      <c r="C272" s="32" t="s">
        <v>15</v>
      </c>
      <c r="D272" s="24">
        <v>45</v>
      </c>
      <c r="E272" s="14" t="s">
        <v>112</v>
      </c>
      <c r="F272" s="14" t="s">
        <v>111</v>
      </c>
      <c r="G272" s="15">
        <v>43800</v>
      </c>
      <c r="H272" s="16">
        <v>3</v>
      </c>
    </row>
    <row r="273" spans="1:8" x14ac:dyDescent="0.3">
      <c r="A273" s="31" t="s">
        <v>110</v>
      </c>
      <c r="B273" s="32" t="s">
        <v>109</v>
      </c>
      <c r="C273" s="32" t="s">
        <v>59</v>
      </c>
      <c r="D273" s="24">
        <v>41</v>
      </c>
      <c r="E273" s="14" t="s">
        <v>108</v>
      </c>
      <c r="F273" s="14" t="s">
        <v>107</v>
      </c>
      <c r="G273" s="15">
        <v>51600</v>
      </c>
      <c r="H273" s="16">
        <v>3</v>
      </c>
    </row>
    <row r="274" spans="1:8" x14ac:dyDescent="0.3">
      <c r="A274" s="31" t="s">
        <v>106</v>
      </c>
      <c r="B274" s="32" t="s">
        <v>69</v>
      </c>
      <c r="C274" s="32" t="s">
        <v>19</v>
      </c>
      <c r="D274" s="24">
        <v>52</v>
      </c>
      <c r="E274" s="14" t="s">
        <v>105</v>
      </c>
      <c r="F274" s="17"/>
      <c r="G274" s="15">
        <v>53700</v>
      </c>
      <c r="H274" s="16">
        <v>3</v>
      </c>
    </row>
    <row r="275" spans="1:8" x14ac:dyDescent="0.3">
      <c r="A275" s="31" t="s">
        <v>104</v>
      </c>
      <c r="B275" s="32" t="s">
        <v>103</v>
      </c>
      <c r="C275" s="32" t="s">
        <v>24</v>
      </c>
      <c r="D275" s="24">
        <v>35</v>
      </c>
      <c r="E275" s="14" t="s">
        <v>102</v>
      </c>
      <c r="F275" s="14" t="s">
        <v>101</v>
      </c>
      <c r="G275" s="15">
        <v>65000</v>
      </c>
      <c r="H275" s="16">
        <v>2</v>
      </c>
    </row>
    <row r="276" spans="1:8" x14ac:dyDescent="0.3">
      <c r="A276" s="31" t="s">
        <v>100</v>
      </c>
      <c r="B276" s="32" t="s">
        <v>99</v>
      </c>
      <c r="C276" s="32" t="s">
        <v>59</v>
      </c>
      <c r="D276" s="24">
        <v>45</v>
      </c>
      <c r="E276" s="14" t="s">
        <v>98</v>
      </c>
      <c r="F276" s="17"/>
      <c r="G276" s="15">
        <v>31700</v>
      </c>
      <c r="H276" s="16">
        <v>4</v>
      </c>
    </row>
    <row r="277" spans="1:8" x14ac:dyDescent="0.3">
      <c r="A277" s="31" t="s">
        <v>97</v>
      </c>
      <c r="B277" s="32" t="s">
        <v>96</v>
      </c>
      <c r="C277" s="32" t="s">
        <v>24</v>
      </c>
      <c r="D277" s="24">
        <v>56</v>
      </c>
      <c r="E277" s="14" t="s">
        <v>95</v>
      </c>
      <c r="F277" s="14" t="s">
        <v>94</v>
      </c>
      <c r="G277" s="15">
        <v>54600</v>
      </c>
      <c r="H277" s="16">
        <v>4</v>
      </c>
    </row>
    <row r="278" spans="1:8" x14ac:dyDescent="0.3">
      <c r="A278" s="31" t="s">
        <v>93</v>
      </c>
      <c r="B278" s="32" t="s">
        <v>92</v>
      </c>
      <c r="C278" s="32" t="s">
        <v>64</v>
      </c>
      <c r="D278" s="24">
        <v>54</v>
      </c>
      <c r="E278" s="14" t="s">
        <v>91</v>
      </c>
      <c r="F278" s="17"/>
      <c r="G278" s="15">
        <v>38900</v>
      </c>
      <c r="H278" s="16">
        <v>4</v>
      </c>
    </row>
    <row r="279" spans="1:8" x14ac:dyDescent="0.3">
      <c r="A279" s="31" t="s">
        <v>90</v>
      </c>
      <c r="B279" s="32" t="s">
        <v>89</v>
      </c>
      <c r="C279" s="32" t="s">
        <v>64</v>
      </c>
      <c r="D279" s="24">
        <v>57</v>
      </c>
      <c r="E279" s="14" t="s">
        <v>88</v>
      </c>
      <c r="F279" s="17"/>
      <c r="G279" s="15">
        <v>35400</v>
      </c>
      <c r="H279" s="16">
        <v>1</v>
      </c>
    </row>
    <row r="280" spans="1:8" x14ac:dyDescent="0.3">
      <c r="A280" s="31" t="s">
        <v>87</v>
      </c>
      <c r="B280" s="32" t="s">
        <v>86</v>
      </c>
      <c r="C280" s="32" t="s">
        <v>59</v>
      </c>
      <c r="D280" s="24">
        <v>35</v>
      </c>
      <c r="E280" s="14" t="s">
        <v>85</v>
      </c>
      <c r="F280" s="14" t="s">
        <v>84</v>
      </c>
      <c r="G280" s="15">
        <v>37300</v>
      </c>
      <c r="H280" s="16">
        <v>2</v>
      </c>
    </row>
    <row r="281" spans="1:8" x14ac:dyDescent="0.3">
      <c r="A281" s="31" t="s">
        <v>83</v>
      </c>
      <c r="B281" s="32" t="s">
        <v>82</v>
      </c>
      <c r="C281" s="32" t="s">
        <v>11</v>
      </c>
      <c r="D281" s="24">
        <v>24</v>
      </c>
      <c r="E281" s="14" t="s">
        <v>81</v>
      </c>
      <c r="F281" s="17"/>
      <c r="G281" s="15">
        <v>44500</v>
      </c>
      <c r="H281" s="16">
        <v>4</v>
      </c>
    </row>
    <row r="282" spans="1:8" x14ac:dyDescent="0.3">
      <c r="A282" s="31" t="s">
        <v>80</v>
      </c>
      <c r="B282" s="32" t="s">
        <v>79</v>
      </c>
      <c r="C282" s="32" t="s">
        <v>11</v>
      </c>
      <c r="D282" s="24">
        <v>50</v>
      </c>
      <c r="E282" s="14" t="s">
        <v>78</v>
      </c>
      <c r="F282" s="17"/>
      <c r="G282" s="15">
        <v>42400</v>
      </c>
      <c r="H282" s="16">
        <v>4</v>
      </c>
    </row>
    <row r="283" spans="1:8" x14ac:dyDescent="0.3">
      <c r="A283" s="31" t="s">
        <v>77</v>
      </c>
      <c r="B283" s="32" t="s">
        <v>76</v>
      </c>
      <c r="C283" s="32" t="s">
        <v>59</v>
      </c>
      <c r="D283" s="24">
        <v>44</v>
      </c>
      <c r="E283" s="14" t="s">
        <v>75</v>
      </c>
      <c r="F283" s="14" t="s">
        <v>74</v>
      </c>
      <c r="G283" s="15">
        <v>38400</v>
      </c>
      <c r="H283" s="16">
        <v>2</v>
      </c>
    </row>
    <row r="284" spans="1:8" x14ac:dyDescent="0.3">
      <c r="A284" s="31" t="s">
        <v>73</v>
      </c>
      <c r="B284" s="32" t="s">
        <v>72</v>
      </c>
      <c r="C284" s="32" t="s">
        <v>64</v>
      </c>
      <c r="D284" s="24">
        <v>41</v>
      </c>
      <c r="E284" s="14" t="s">
        <v>71</v>
      </c>
      <c r="F284" s="17"/>
      <c r="G284" s="15">
        <v>41100</v>
      </c>
      <c r="H284" s="16">
        <v>4</v>
      </c>
    </row>
    <row r="285" spans="1:8" x14ac:dyDescent="0.3">
      <c r="A285" s="31" t="s">
        <v>70</v>
      </c>
      <c r="B285" s="32" t="s">
        <v>69</v>
      </c>
      <c r="C285" s="32" t="s">
        <v>11</v>
      </c>
      <c r="D285" s="24">
        <v>44</v>
      </c>
      <c r="E285" s="14" t="s">
        <v>68</v>
      </c>
      <c r="F285" s="14" t="s">
        <v>67</v>
      </c>
      <c r="G285" s="15">
        <v>44400</v>
      </c>
      <c r="H285" s="16">
        <v>1</v>
      </c>
    </row>
    <row r="286" spans="1:8" x14ac:dyDescent="0.3">
      <c r="A286" s="31" t="s">
        <v>66</v>
      </c>
      <c r="B286" s="32" t="s">
        <v>65</v>
      </c>
      <c r="C286" s="32" t="s">
        <v>64</v>
      </c>
      <c r="D286" s="24">
        <v>37</v>
      </c>
      <c r="E286" s="14" t="s">
        <v>63</v>
      </c>
      <c r="F286" s="14" t="s">
        <v>62</v>
      </c>
      <c r="G286" s="15">
        <v>28800</v>
      </c>
      <c r="H286" s="16">
        <v>4</v>
      </c>
    </row>
    <row r="287" spans="1:8" x14ac:dyDescent="0.3">
      <c r="A287" s="31" t="s">
        <v>61</v>
      </c>
      <c r="B287" s="32" t="s">
        <v>60</v>
      </c>
      <c r="C287" s="32" t="s">
        <v>59</v>
      </c>
      <c r="D287" s="24">
        <v>24</v>
      </c>
      <c r="E287" s="14" t="s">
        <v>58</v>
      </c>
      <c r="F287" s="17"/>
      <c r="G287" s="15">
        <v>42000</v>
      </c>
      <c r="H287" s="16">
        <v>4</v>
      </c>
    </row>
    <row r="288" spans="1:8" x14ac:dyDescent="0.3">
      <c r="A288" s="31" t="s">
        <v>57</v>
      </c>
      <c r="B288" s="32" t="s">
        <v>56</v>
      </c>
      <c r="C288" s="32" t="s">
        <v>24</v>
      </c>
      <c r="D288" s="24">
        <v>40</v>
      </c>
      <c r="E288" s="14" t="s">
        <v>55</v>
      </c>
      <c r="F288" s="17"/>
      <c r="G288" s="15">
        <v>61600</v>
      </c>
      <c r="H288" s="16">
        <v>3</v>
      </c>
    </row>
    <row r="289" spans="1:8" x14ac:dyDescent="0.3">
      <c r="A289" s="31" t="s">
        <v>54</v>
      </c>
      <c r="B289" s="32" t="s">
        <v>53</v>
      </c>
      <c r="C289" s="32" t="s">
        <v>19</v>
      </c>
      <c r="D289" s="24">
        <v>41</v>
      </c>
      <c r="E289" s="14" t="s">
        <v>52</v>
      </c>
      <c r="F289" s="17"/>
      <c r="G289" s="15">
        <v>42500</v>
      </c>
      <c r="H289" s="16">
        <v>3</v>
      </c>
    </row>
    <row r="290" spans="1:8" x14ac:dyDescent="0.3">
      <c r="A290" s="31" t="s">
        <v>51</v>
      </c>
      <c r="B290" s="32" t="s">
        <v>50</v>
      </c>
      <c r="C290" s="32" t="s">
        <v>24</v>
      </c>
      <c r="D290" s="24">
        <v>33</v>
      </c>
      <c r="E290" s="14" t="s">
        <v>49</v>
      </c>
      <c r="F290" s="17"/>
      <c r="G290" s="15">
        <v>57300</v>
      </c>
      <c r="H290" s="16">
        <v>1</v>
      </c>
    </row>
    <row r="291" spans="1:8" x14ac:dyDescent="0.3">
      <c r="A291" s="31" t="s">
        <v>48</v>
      </c>
      <c r="B291" s="32" t="s">
        <v>47</v>
      </c>
      <c r="C291" s="32" t="s">
        <v>24</v>
      </c>
      <c r="D291" s="24">
        <v>42</v>
      </c>
      <c r="E291" s="14" t="s">
        <v>46</v>
      </c>
      <c r="F291" s="17"/>
      <c r="G291" s="15">
        <v>47600</v>
      </c>
      <c r="H291" s="16">
        <v>3</v>
      </c>
    </row>
    <row r="292" spans="1:8" x14ac:dyDescent="0.3">
      <c r="A292" s="31" t="s">
        <v>45</v>
      </c>
      <c r="B292" s="32" t="s">
        <v>44</v>
      </c>
      <c r="C292" s="32" t="s">
        <v>19</v>
      </c>
      <c r="D292" s="24">
        <v>36</v>
      </c>
      <c r="E292" s="14" t="s">
        <v>43</v>
      </c>
      <c r="F292" s="17"/>
      <c r="G292" s="15">
        <v>33500</v>
      </c>
      <c r="H292" s="16">
        <v>3</v>
      </c>
    </row>
    <row r="293" spans="1:8" x14ac:dyDescent="0.3">
      <c r="A293" s="31" t="s">
        <v>42</v>
      </c>
      <c r="B293" s="32" t="s">
        <v>41</v>
      </c>
      <c r="C293" s="32" t="s">
        <v>11</v>
      </c>
      <c r="D293" s="24">
        <v>48</v>
      </c>
      <c r="E293" s="14" t="s">
        <v>40</v>
      </c>
      <c r="F293" s="17"/>
      <c r="G293" s="15">
        <v>35300</v>
      </c>
      <c r="H293" s="16">
        <v>3</v>
      </c>
    </row>
    <row r="294" spans="1:8" x14ac:dyDescent="0.3">
      <c r="A294" s="31" t="s">
        <v>39</v>
      </c>
      <c r="B294" s="32" t="s">
        <v>38</v>
      </c>
      <c r="C294" s="32" t="s">
        <v>11</v>
      </c>
      <c r="D294" s="24">
        <v>45</v>
      </c>
      <c r="E294" s="14" t="s">
        <v>37</v>
      </c>
      <c r="F294" s="17"/>
      <c r="G294" s="15">
        <v>45900</v>
      </c>
      <c r="H294" s="16">
        <v>2</v>
      </c>
    </row>
    <row r="295" spans="1:8" x14ac:dyDescent="0.3">
      <c r="A295" s="31" t="s">
        <v>36</v>
      </c>
      <c r="B295" s="32" t="s">
        <v>35</v>
      </c>
      <c r="C295" s="32" t="s">
        <v>24</v>
      </c>
      <c r="D295" s="24">
        <v>24</v>
      </c>
      <c r="E295" s="14" t="s">
        <v>34</v>
      </c>
      <c r="F295" s="14" t="s">
        <v>33</v>
      </c>
      <c r="G295" s="15">
        <v>58100</v>
      </c>
      <c r="H295" s="16">
        <v>4</v>
      </c>
    </row>
    <row r="296" spans="1:8" x14ac:dyDescent="0.3">
      <c r="A296" s="31" t="s">
        <v>32</v>
      </c>
      <c r="B296" s="32" t="s">
        <v>31</v>
      </c>
      <c r="C296" s="32" t="s">
        <v>19</v>
      </c>
      <c r="D296" s="24">
        <v>43</v>
      </c>
      <c r="E296" s="14" t="s">
        <v>30</v>
      </c>
      <c r="F296" s="17"/>
      <c r="G296" s="15">
        <v>30400</v>
      </c>
      <c r="H296" s="16">
        <v>5</v>
      </c>
    </row>
    <row r="297" spans="1:8" x14ac:dyDescent="0.3">
      <c r="A297" s="31" t="s">
        <v>29</v>
      </c>
      <c r="B297" s="32" t="s">
        <v>28</v>
      </c>
      <c r="C297" s="32" t="s">
        <v>19</v>
      </c>
      <c r="D297" s="24">
        <v>35</v>
      </c>
      <c r="E297" s="14" t="s">
        <v>27</v>
      </c>
      <c r="F297" s="17"/>
      <c r="G297" s="15">
        <v>43200</v>
      </c>
      <c r="H297" s="16">
        <v>4</v>
      </c>
    </row>
    <row r="298" spans="1:8" x14ac:dyDescent="0.3">
      <c r="A298" s="31" t="s">
        <v>26</v>
      </c>
      <c r="B298" s="32" t="s">
        <v>25</v>
      </c>
      <c r="C298" s="32" t="s">
        <v>24</v>
      </c>
      <c r="D298" s="24">
        <v>44</v>
      </c>
      <c r="E298" s="14" t="s">
        <v>23</v>
      </c>
      <c r="F298" s="14" t="s">
        <v>22</v>
      </c>
      <c r="G298" s="15">
        <v>65200</v>
      </c>
      <c r="H298" s="16">
        <v>3</v>
      </c>
    </row>
    <row r="299" spans="1:8" x14ac:dyDescent="0.3">
      <c r="A299" s="31" t="s">
        <v>21</v>
      </c>
      <c r="B299" s="32" t="s">
        <v>20</v>
      </c>
      <c r="C299" s="32" t="s">
        <v>19</v>
      </c>
      <c r="D299" s="24">
        <v>45</v>
      </c>
      <c r="E299" s="14" t="s">
        <v>18</v>
      </c>
      <c r="F299" s="17"/>
      <c r="G299" s="15">
        <v>43500</v>
      </c>
      <c r="H299" s="16">
        <v>3</v>
      </c>
    </row>
    <row r="300" spans="1:8" x14ac:dyDescent="0.3">
      <c r="A300" s="31" t="s">
        <v>17</v>
      </c>
      <c r="B300" s="32" t="s">
        <v>16</v>
      </c>
      <c r="C300" s="32" t="s">
        <v>15</v>
      </c>
      <c r="D300" s="24">
        <v>57</v>
      </c>
      <c r="E300" s="14" t="s">
        <v>14</v>
      </c>
      <c r="F300" s="17"/>
      <c r="G300" s="15">
        <v>51000</v>
      </c>
      <c r="H300" s="16">
        <v>3</v>
      </c>
    </row>
    <row r="301" spans="1:8" ht="15" thickBot="1" x14ac:dyDescent="0.35">
      <c r="A301" s="33" t="s">
        <v>13</v>
      </c>
      <c r="B301" s="34" t="s">
        <v>12</v>
      </c>
      <c r="C301" s="34" t="s">
        <v>11</v>
      </c>
      <c r="D301" s="25">
        <v>58</v>
      </c>
      <c r="E301" s="19" t="s">
        <v>10</v>
      </c>
      <c r="F301" s="19" t="s">
        <v>9</v>
      </c>
      <c r="G301" s="20">
        <v>41700</v>
      </c>
      <c r="H301" s="21">
        <v>4</v>
      </c>
    </row>
  </sheetData>
  <dataValidations count="2">
    <dataValidation type="whole" allowBlank="1" sqref="H2:H301" xr:uid="{00000000-0002-0000-0000-000001000000}">
      <formula1>1</formula1>
      <formula2>5</formula2>
    </dataValidation>
    <dataValidation type="list" allowBlank="1" sqref="C2:C301" xr:uid="{00000000-0002-0000-0000-000000000000}">
      <formula1>"Sales,Marketing,Finance,HR,IT,Operations"</formula1>
      <formula2>0</formula2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0DB47-153F-4C08-8129-195DE43A99FA}">
  <dimension ref="A1:M350"/>
  <sheetViews>
    <sheetView workbookViewId="0">
      <selection activeCell="I9" sqref="I9"/>
    </sheetView>
  </sheetViews>
  <sheetFormatPr defaultRowHeight="14.4" x14ac:dyDescent="0.3"/>
  <cols>
    <col min="1" max="1" width="8.6640625" bestFit="1" customWidth="1"/>
    <col min="2" max="2" width="16.6640625" bestFit="1" customWidth="1"/>
    <col min="3" max="3" width="12.44140625" bestFit="1" customWidth="1"/>
    <col min="4" max="4" width="8" bestFit="1" customWidth="1"/>
    <col min="5" max="5" width="13.6640625" bestFit="1" customWidth="1"/>
    <col min="6" max="6" width="12.33203125" bestFit="1" customWidth="1"/>
    <col min="7" max="7" width="14" bestFit="1" customWidth="1"/>
    <col min="8" max="8" width="12.109375" bestFit="1" customWidth="1"/>
    <col min="9" max="9" width="12" bestFit="1" customWidth="1"/>
    <col min="10" max="10" width="12.6640625" bestFit="1" customWidth="1"/>
    <col min="11" max="11" width="17.5546875" style="37" bestFit="1" customWidth="1"/>
    <col min="12" max="12" width="14.77734375" bestFit="1" customWidth="1"/>
    <col min="13" max="13" width="19.109375" bestFit="1" customWidth="1"/>
  </cols>
  <sheetData>
    <row r="1" spans="1:13" x14ac:dyDescent="0.3">
      <c r="A1" s="64" t="s">
        <v>8</v>
      </c>
      <c r="B1" s="65" t="s">
        <v>7</v>
      </c>
      <c r="C1" s="65" t="s">
        <v>6</v>
      </c>
      <c r="D1" s="65" t="s">
        <v>1005</v>
      </c>
      <c r="E1" s="65" t="s">
        <v>1004</v>
      </c>
      <c r="F1" s="65" t="s">
        <v>1003</v>
      </c>
      <c r="G1" s="65" t="s">
        <v>1002</v>
      </c>
      <c r="H1" s="65" t="s">
        <v>1001</v>
      </c>
      <c r="I1" s="65" t="s">
        <v>1000</v>
      </c>
      <c r="J1" s="65" t="s">
        <v>999</v>
      </c>
      <c r="K1" s="66" t="s">
        <v>998</v>
      </c>
      <c r="L1" s="65" t="s">
        <v>997</v>
      </c>
      <c r="M1" s="67" t="s">
        <v>996</v>
      </c>
    </row>
    <row r="2" spans="1:13" x14ac:dyDescent="0.3">
      <c r="A2" s="68" t="str">
        <f>'Raw Data'!A2</f>
        <v>EMP0001</v>
      </c>
      <c r="B2" s="17" t="str">
        <f>INDEX('Raw Data'!$B$2:$B$301, MATCH(A2,'Raw Data'!$A$2:$A$301,0))</f>
        <v>Kabir Sharma</v>
      </c>
      <c r="C2" s="17" t="str">
        <f>VLOOKUP($A2,'Raw Data'!$A$2:$C$301,3,FALSE)</f>
        <v>Operations</v>
      </c>
      <c r="D2" s="17" t="str">
        <f>IF(ISBLANK('Raw Data'!F2),"Active","Resigned")</f>
        <v>Resigned</v>
      </c>
      <c r="E2" s="17">
        <f ca="1">DATEDIF('Raw Data'!E2,IF(ISBLANK('Raw Data'!F2),TODAY(),'Raw Data'!F2),"Y")</f>
        <v>1</v>
      </c>
      <c r="F2" s="17" t="str">
        <f>_xlfn.IFS('Raw Data'!D2&lt;30,"Under 30",'Raw Data'!D2&lt;=40,"30-40",'Raw Data'!D2&lt;=50,"41-50",TRUE(),"51+")</f>
        <v>30-40</v>
      </c>
      <c r="G2" s="38">
        <f>'Raw Data'!G2*12</f>
        <v>542400</v>
      </c>
      <c r="H2" s="17" t="str">
        <f>_xlfn.IFS(G2&lt;420000,"Low",G2&lt;540000,"Mid",G2&lt;660000,"High",TRUE(),"Premium")</f>
        <v>High</v>
      </c>
      <c r="I2" s="17">
        <f>RANK(G2,$G$2:$G$301)</f>
        <v>149</v>
      </c>
      <c r="J2" s="17" t="str">
        <f>_xlfn.TEXTJOIN("-",TRUE(),LEFT(C2,3),A2)</f>
        <v>Ope-EMP0001</v>
      </c>
      <c r="K2" s="39">
        <f ca="1">EOMONTH('Raw Data'!E2,12*(YEAR(TODAY())-YEAR('Raw Data'!E2))+3)</f>
        <v>46387</v>
      </c>
      <c r="L2" s="17" t="str">
        <f ca="1">IF(AND('Raw Data'!H2&gt;=4,D2="Active",E2&lt;2),"Watch","")</f>
        <v/>
      </c>
      <c r="M2" s="69" t="str">
        <f>IFERROR(VLOOKUP($A2,'Raw Data'!$A$2:$C$50,3,FALSE()),"Not in first 49 rows")</f>
        <v>Operations</v>
      </c>
    </row>
    <row r="3" spans="1:13" x14ac:dyDescent="0.3">
      <c r="A3" s="68" t="str">
        <f>'Raw Data'!A3</f>
        <v>EMP0002</v>
      </c>
      <c r="B3" s="17" t="str">
        <f>INDEX('Raw Data'!$B$2:$B$301, MATCH(A3,'Raw Data'!$A$2:$A$301,0))</f>
        <v>Reyansh Menon</v>
      </c>
      <c r="C3" s="17" t="str">
        <f>VLOOKUP($A3,'Raw Data'!$A$2:$C$301,3,FALSE)</f>
        <v>HR</v>
      </c>
      <c r="D3" s="17" t="str">
        <f>IF(ISBLANK('Raw Data'!F3),"Active","Resigned")</f>
        <v>Resigned</v>
      </c>
      <c r="E3" s="17">
        <f ca="1">DATEDIF('Raw Data'!E3,IF(ISBLANK('Raw Data'!F3),TODAY(),'Raw Data'!F3),"Y")</f>
        <v>2</v>
      </c>
      <c r="F3" s="17" t="str">
        <f>_xlfn.IFS('Raw Data'!D3&lt;30,"Under 30",'Raw Data'!D3&lt;=40,"30-40",'Raw Data'!D3&lt;=50,"41-50",TRUE(),"51+")</f>
        <v>Under 30</v>
      </c>
      <c r="G3" s="38">
        <f>'Raw Data'!G3*12</f>
        <v>457200</v>
      </c>
      <c r="H3" s="17" t="str">
        <f t="shared" ref="H3:H66" si="0">_xlfn.IFS(G3&lt;420000,"Low",G3&lt;540000,"Mid",G3&lt;660000,"High",TRUE(),"Premium")</f>
        <v>Mid</v>
      </c>
      <c r="I3" s="17">
        <f t="shared" ref="I3:I66" si="1">RANK(G3,$G$2:$G$301)</f>
        <v>221</v>
      </c>
      <c r="J3" s="17" t="str">
        <f t="shared" ref="J3:J66" si="2">_xlfn.TEXTJOIN("-",TRUE(),LEFT(C3,3),A3)</f>
        <v>HR-EMP0002</v>
      </c>
      <c r="K3" s="39">
        <f ca="1">EOMONTH('Raw Data'!E3,12*(YEAR(TODAY())-YEAR('Raw Data'!E3))+3)</f>
        <v>46265</v>
      </c>
      <c r="L3" s="17" t="str">
        <f ca="1">IF(AND('Raw Data'!H3&gt;=4,D3="Active",E3&lt;2),"Watch","")</f>
        <v/>
      </c>
      <c r="M3" s="69" t="str">
        <f>IFERROR(VLOOKUP($A3,'Raw Data'!$A$2:$C$50,3,FALSE()),"Not in first 49 rows")</f>
        <v>HR</v>
      </c>
    </row>
    <row r="4" spans="1:13" x14ac:dyDescent="0.3">
      <c r="A4" s="68" t="str">
        <f>'Raw Data'!A4</f>
        <v>EMP0003</v>
      </c>
      <c r="B4" s="17" t="str">
        <f>INDEX('Raw Data'!$B$2:$B$301, MATCH(A4,'Raw Data'!$A$2:$A$301,0))</f>
        <v>Aadhya Pillai</v>
      </c>
      <c r="C4" s="17" t="str">
        <f>VLOOKUP($A4,'Raw Data'!$A$2:$C$301,3,FALSE)</f>
        <v>HR</v>
      </c>
      <c r="D4" s="17" t="str">
        <f>IF(ISBLANK('Raw Data'!F4),"Active","Resigned")</f>
        <v>Active</v>
      </c>
      <c r="E4" s="17">
        <f ca="1">DATEDIF('Raw Data'!E4,IF(ISBLANK('Raw Data'!F4),TODAY(),'Raw Data'!F4),"Y")</f>
        <v>5</v>
      </c>
      <c r="F4" s="17" t="str">
        <f>_xlfn.IFS('Raw Data'!D4&lt;30,"Under 30",'Raw Data'!D4&lt;=40,"30-40",'Raw Data'!D4&lt;=50,"41-50",TRUE(),"51+")</f>
        <v>30-40</v>
      </c>
      <c r="G4" s="38">
        <f>'Raw Data'!G4*12</f>
        <v>544800</v>
      </c>
      <c r="H4" s="17" t="str">
        <f t="shared" si="0"/>
        <v>High</v>
      </c>
      <c r="I4" s="17">
        <f t="shared" si="1"/>
        <v>142</v>
      </c>
      <c r="J4" s="17" t="str">
        <f t="shared" si="2"/>
        <v>HR-EMP0003</v>
      </c>
      <c r="K4" s="39">
        <f ca="1">EOMONTH('Raw Data'!E4,12*(YEAR(TODAY())-YEAR('Raw Data'!E4))+3)</f>
        <v>46142</v>
      </c>
      <c r="L4" s="17" t="str">
        <f ca="1">IF(AND('Raw Data'!H4&gt;=4,D4="Active",E4&lt;2),"Watch","")</f>
        <v/>
      </c>
      <c r="M4" s="69" t="str">
        <f>IFERROR(VLOOKUP($A4,'Raw Data'!$A$2:$C$50,3,FALSE()),"Not in first 49 rows")</f>
        <v>HR</v>
      </c>
    </row>
    <row r="5" spans="1:13" x14ac:dyDescent="0.3">
      <c r="A5" s="68" t="str">
        <f>'Raw Data'!A5</f>
        <v>EMP0004</v>
      </c>
      <c r="B5" s="17" t="str">
        <f>INDEX('Raw Data'!$B$2:$B$301, MATCH(A5,'Raw Data'!$A$2:$A$301,0))</f>
        <v>Ananya Kapoor</v>
      </c>
      <c r="C5" s="17" t="str">
        <f>VLOOKUP($A5,'Raw Data'!$A$2:$C$301,3,FALSE)</f>
        <v>Finance</v>
      </c>
      <c r="D5" s="17" t="str">
        <f>IF(ISBLANK('Raw Data'!F5),"Active","Resigned")</f>
        <v>Resigned</v>
      </c>
      <c r="E5" s="17">
        <f ca="1">DATEDIF('Raw Data'!E5,IF(ISBLANK('Raw Data'!F5),TODAY(),'Raw Data'!F5),"Y")</f>
        <v>8</v>
      </c>
      <c r="F5" s="17" t="str">
        <f>_xlfn.IFS('Raw Data'!D5&lt;30,"Under 30",'Raw Data'!D5&lt;=40,"30-40",'Raw Data'!D5&lt;=50,"41-50",TRUE(),"51+")</f>
        <v>30-40</v>
      </c>
      <c r="G5" s="38">
        <f>'Raw Data'!G5*12</f>
        <v>589200</v>
      </c>
      <c r="H5" s="17" t="str">
        <f t="shared" si="0"/>
        <v>High</v>
      </c>
      <c r="I5" s="17">
        <f t="shared" si="1"/>
        <v>107</v>
      </c>
      <c r="J5" s="17" t="str">
        <f t="shared" si="2"/>
        <v>Fin-EMP0004</v>
      </c>
      <c r="K5" s="39">
        <f ca="1">EOMONTH('Raw Data'!E5,12*(YEAR(TODAY())-YEAR('Raw Data'!E5))+3)</f>
        <v>46387</v>
      </c>
      <c r="L5" s="17" t="str">
        <f ca="1">IF(AND('Raw Data'!H5&gt;=4,D5="Active",E5&lt;2),"Watch","")</f>
        <v/>
      </c>
      <c r="M5" s="69" t="str">
        <f>IFERROR(VLOOKUP($A5,'Raw Data'!$A$2:$C$50,3,FALSE()),"Not in first 49 rows")</f>
        <v>Finance</v>
      </c>
    </row>
    <row r="6" spans="1:13" x14ac:dyDescent="0.3">
      <c r="A6" s="68" t="str">
        <f>'Raw Data'!A6</f>
        <v>EMP0005</v>
      </c>
      <c r="B6" s="17" t="str">
        <f>INDEX('Raw Data'!$B$2:$B$301, MATCH(A6,'Raw Data'!$A$2:$A$301,0))</f>
        <v>Ishaan Joshi</v>
      </c>
      <c r="C6" s="17" t="str">
        <f>VLOOKUP($A6,'Raw Data'!$A$2:$C$301,3,FALSE)</f>
        <v>Finance</v>
      </c>
      <c r="D6" s="17" t="str">
        <f>IF(ISBLANK('Raw Data'!F6),"Active","Resigned")</f>
        <v>Resigned</v>
      </c>
      <c r="E6" s="17">
        <f ca="1">DATEDIF('Raw Data'!E6,IF(ISBLANK('Raw Data'!F6),TODAY(),'Raw Data'!F6),"Y")</f>
        <v>0</v>
      </c>
      <c r="F6" s="17" t="str">
        <f>_xlfn.IFS('Raw Data'!D6&lt;30,"Under 30",'Raw Data'!D6&lt;=40,"30-40",'Raw Data'!D6&lt;=50,"41-50",TRUE(),"51+")</f>
        <v>30-40</v>
      </c>
      <c r="G6" s="38">
        <f>'Raw Data'!G6*12</f>
        <v>646800</v>
      </c>
      <c r="H6" s="17" t="str">
        <f t="shared" si="0"/>
        <v>High</v>
      </c>
      <c r="I6" s="17">
        <f t="shared" si="1"/>
        <v>49</v>
      </c>
      <c r="J6" s="17" t="str">
        <f t="shared" si="2"/>
        <v>Fin-EMP0005</v>
      </c>
      <c r="K6" s="39">
        <f ca="1">EOMONTH('Raw Data'!E6,12*(YEAR(TODAY())-YEAR('Raw Data'!E6))+3)</f>
        <v>46142</v>
      </c>
      <c r="L6" s="17" t="str">
        <f ca="1">IF(AND('Raw Data'!H6&gt;=4,D6="Active",E6&lt;2),"Watch","")</f>
        <v/>
      </c>
      <c r="M6" s="69" t="str">
        <f>IFERROR(VLOOKUP($A6,'Raw Data'!$A$2:$C$50,3,FALSE()),"Not in first 49 rows")</f>
        <v>Finance</v>
      </c>
    </row>
    <row r="7" spans="1:13" x14ac:dyDescent="0.3">
      <c r="A7" s="68" t="str">
        <f>'Raw Data'!A7</f>
        <v>EMP0006</v>
      </c>
      <c r="B7" s="17" t="str">
        <f>INDEX('Raw Data'!$B$2:$B$301, MATCH(A7,'Raw Data'!$A$2:$A$301,0))</f>
        <v>Nikhil Gupta</v>
      </c>
      <c r="C7" s="17" t="str">
        <f>VLOOKUP($A7,'Raw Data'!$A$2:$C$301,3,FALSE)</f>
        <v>IT</v>
      </c>
      <c r="D7" s="17" t="str">
        <f>IF(ISBLANK('Raw Data'!F7),"Active","Resigned")</f>
        <v>Active</v>
      </c>
      <c r="E7" s="17">
        <f ca="1">DATEDIF('Raw Data'!E7,IF(ISBLANK('Raw Data'!F7),TODAY(),'Raw Data'!F7),"Y")</f>
        <v>1</v>
      </c>
      <c r="F7" s="17" t="str">
        <f>_xlfn.IFS('Raw Data'!D7&lt;30,"Under 30",'Raw Data'!D7&lt;=40,"30-40",'Raw Data'!D7&lt;=50,"41-50",TRUE(),"51+")</f>
        <v>30-40</v>
      </c>
      <c r="G7" s="38">
        <f>'Raw Data'!G7*12</f>
        <v>783600</v>
      </c>
      <c r="H7" s="17" t="str">
        <f t="shared" si="0"/>
        <v>Premium</v>
      </c>
      <c r="I7" s="17">
        <f t="shared" si="1"/>
        <v>4</v>
      </c>
      <c r="J7" s="17" t="str">
        <f t="shared" si="2"/>
        <v>IT-EMP0006</v>
      </c>
      <c r="K7" s="39">
        <f ca="1">EOMONTH('Raw Data'!E7,12*(YEAR(TODAY())-YEAR('Raw Data'!E7))+3)</f>
        <v>46234</v>
      </c>
      <c r="L7" s="17" t="str">
        <f ca="1">IF(AND('Raw Data'!H7&gt;=4,D7="Active",E7&lt;2),"Watch","")</f>
        <v/>
      </c>
      <c r="M7" s="69" t="str">
        <f>IFERROR(VLOOKUP($A7,'Raw Data'!$A$2:$C$50,3,FALSE()),"Not in first 49 rows")</f>
        <v>IT</v>
      </c>
    </row>
    <row r="8" spans="1:13" x14ac:dyDescent="0.3">
      <c r="A8" s="68" t="str">
        <f>'Raw Data'!A8</f>
        <v>EMP0007</v>
      </c>
      <c r="B8" s="17" t="str">
        <f>INDEX('Raw Data'!$B$2:$B$301, MATCH(A8,'Raw Data'!$A$2:$A$301,0))</f>
        <v>Aadhya Gupta</v>
      </c>
      <c r="C8" s="17" t="str">
        <f>VLOOKUP($A8,'Raw Data'!$A$2:$C$301,3,FALSE)</f>
        <v>Sales</v>
      </c>
      <c r="D8" s="17" t="str">
        <f>IF(ISBLANK('Raw Data'!F8),"Active","Resigned")</f>
        <v>Active</v>
      </c>
      <c r="E8" s="17">
        <f ca="1">DATEDIF('Raw Data'!E8,IF(ISBLANK('Raw Data'!F8),TODAY(),'Raw Data'!F8),"Y")</f>
        <v>1</v>
      </c>
      <c r="F8" s="17" t="str">
        <f>_xlfn.IFS('Raw Data'!D8&lt;30,"Under 30",'Raw Data'!D8&lt;=40,"30-40",'Raw Data'!D8&lt;=50,"41-50",TRUE(),"51+")</f>
        <v>30-40</v>
      </c>
      <c r="G8" s="38">
        <f>'Raw Data'!G8*12</f>
        <v>358800</v>
      </c>
      <c r="H8" s="17" t="str">
        <f t="shared" si="0"/>
        <v>Low</v>
      </c>
      <c r="I8" s="17">
        <f t="shared" si="1"/>
        <v>289</v>
      </c>
      <c r="J8" s="17" t="str">
        <f t="shared" si="2"/>
        <v>Sal-EMP0007</v>
      </c>
      <c r="K8" s="39">
        <f ca="1">EOMONTH('Raw Data'!E8,12*(YEAR(TODAY())-YEAR('Raw Data'!E8))+3)</f>
        <v>46387</v>
      </c>
      <c r="L8" s="17" t="str">
        <f ca="1">IF(AND('Raw Data'!H8&gt;=4,D8="Active",E8&lt;2),"Watch","")</f>
        <v/>
      </c>
      <c r="M8" s="69" t="str">
        <f>IFERROR(VLOOKUP($A8,'Raw Data'!$A$2:$C$50,3,FALSE()),"Not in first 49 rows")</f>
        <v>Sales</v>
      </c>
    </row>
    <row r="9" spans="1:13" x14ac:dyDescent="0.3">
      <c r="A9" s="68" t="str">
        <f>'Raw Data'!A9</f>
        <v>EMP0008</v>
      </c>
      <c r="B9" s="17" t="str">
        <f>INDEX('Raw Data'!$B$2:$B$301, MATCH(A9,'Raw Data'!$A$2:$A$301,0))</f>
        <v>Ishaan Desai</v>
      </c>
      <c r="C9" s="17" t="str">
        <f>VLOOKUP($A9,'Raw Data'!$A$2:$C$301,3,FALSE)</f>
        <v>Finance</v>
      </c>
      <c r="D9" s="17" t="str">
        <f>IF(ISBLANK('Raw Data'!F9),"Active","Resigned")</f>
        <v>Active</v>
      </c>
      <c r="E9" s="17">
        <f ca="1">DATEDIF('Raw Data'!E9,IF(ISBLANK('Raw Data'!F9),TODAY(),'Raw Data'!F9),"Y")</f>
        <v>3</v>
      </c>
      <c r="F9" s="17" t="str">
        <f>_xlfn.IFS('Raw Data'!D9&lt;30,"Under 30",'Raw Data'!D9&lt;=40,"30-40",'Raw Data'!D9&lt;=50,"41-50",TRUE(),"51+")</f>
        <v>51+</v>
      </c>
      <c r="G9" s="38">
        <f>'Raw Data'!G9*12</f>
        <v>538800</v>
      </c>
      <c r="H9" s="17" t="str">
        <f t="shared" si="0"/>
        <v>Mid</v>
      </c>
      <c r="I9" s="17">
        <f t="shared" si="1"/>
        <v>154</v>
      </c>
      <c r="J9" s="17" t="str">
        <f t="shared" si="2"/>
        <v>Fin-EMP0008</v>
      </c>
      <c r="K9" s="39">
        <f ca="1">EOMONTH('Raw Data'!E9,12*(YEAR(TODAY())-YEAR('Raw Data'!E9))+3)</f>
        <v>46173</v>
      </c>
      <c r="L9" s="17" t="str">
        <f ca="1">IF(AND('Raw Data'!H9&gt;=4,D9="Active",E9&lt;2),"Watch","")</f>
        <v/>
      </c>
      <c r="M9" s="69" t="str">
        <f>IFERROR(VLOOKUP($A9,'Raw Data'!$A$2:$C$50,3,FALSE()),"Not in first 49 rows")</f>
        <v>Finance</v>
      </c>
    </row>
    <row r="10" spans="1:13" x14ac:dyDescent="0.3">
      <c r="A10" s="68" t="str">
        <f>'Raw Data'!A10</f>
        <v>EMP0009</v>
      </c>
      <c r="B10" s="17" t="str">
        <f>INDEX('Raw Data'!$B$2:$B$301, MATCH(A10,'Raw Data'!$A$2:$A$301,0))</f>
        <v>Anika Gupta</v>
      </c>
      <c r="C10" s="17" t="str">
        <f>VLOOKUP($A10,'Raw Data'!$A$2:$C$301,3,FALSE)</f>
        <v>IT</v>
      </c>
      <c r="D10" s="17" t="str">
        <f>IF(ISBLANK('Raw Data'!F10),"Active","Resigned")</f>
        <v>Active</v>
      </c>
      <c r="E10" s="17">
        <f ca="1">DATEDIF('Raw Data'!E10,IF(ISBLANK('Raw Data'!F10),TODAY(),'Raw Data'!F10),"Y")</f>
        <v>4</v>
      </c>
      <c r="F10" s="17" t="str">
        <f>_xlfn.IFS('Raw Data'!D10&lt;30,"Under 30",'Raw Data'!D10&lt;=40,"30-40",'Raw Data'!D10&lt;=50,"41-50",TRUE(),"51+")</f>
        <v>30-40</v>
      </c>
      <c r="G10" s="38">
        <f>'Raw Data'!G10*12</f>
        <v>574800</v>
      </c>
      <c r="H10" s="17" t="str">
        <f t="shared" si="0"/>
        <v>High</v>
      </c>
      <c r="I10" s="17">
        <f t="shared" si="1"/>
        <v>114</v>
      </c>
      <c r="J10" s="17" t="str">
        <f t="shared" si="2"/>
        <v>IT-EMP0009</v>
      </c>
      <c r="K10" s="39">
        <f ca="1">EOMONTH('Raw Data'!E10,12*(YEAR(TODAY())-YEAR('Raw Data'!E10))+3)</f>
        <v>46477</v>
      </c>
      <c r="L10" s="17" t="str">
        <f ca="1">IF(AND('Raw Data'!H10&gt;=4,D10="Active",E10&lt;2),"Watch","")</f>
        <v/>
      </c>
      <c r="M10" s="69" t="str">
        <f>IFERROR(VLOOKUP($A10,'Raw Data'!$A$2:$C$50,3,FALSE()),"Not in first 49 rows")</f>
        <v>IT</v>
      </c>
    </row>
    <row r="11" spans="1:13" x14ac:dyDescent="0.3">
      <c r="A11" s="68" t="str">
        <f>'Raw Data'!A11</f>
        <v>EMP0010</v>
      </c>
      <c r="B11" s="17" t="str">
        <f>INDEX('Raw Data'!$B$2:$B$301, MATCH(A11,'Raw Data'!$A$2:$A$301,0))</f>
        <v>Meera Nair</v>
      </c>
      <c r="C11" s="17" t="str">
        <f>VLOOKUP($A11,'Raw Data'!$A$2:$C$301,3,FALSE)</f>
        <v>Operations</v>
      </c>
      <c r="D11" s="17" t="str">
        <f>IF(ISBLANK('Raw Data'!F11),"Active","Resigned")</f>
        <v>Active</v>
      </c>
      <c r="E11" s="17">
        <f ca="1">DATEDIF('Raw Data'!E11,IF(ISBLANK('Raw Data'!F11),TODAY(),'Raw Data'!F11),"Y")</f>
        <v>1</v>
      </c>
      <c r="F11" s="17" t="str">
        <f>_xlfn.IFS('Raw Data'!D11&lt;30,"Under 30",'Raw Data'!D11&lt;=40,"30-40",'Raw Data'!D11&lt;=50,"41-50",TRUE(),"51+")</f>
        <v>41-50</v>
      </c>
      <c r="G11" s="38">
        <f>'Raw Data'!G11*12</f>
        <v>414000</v>
      </c>
      <c r="H11" s="17" t="str">
        <f t="shared" si="0"/>
        <v>Low</v>
      </c>
      <c r="I11" s="17">
        <f t="shared" si="1"/>
        <v>257</v>
      </c>
      <c r="J11" s="17" t="str">
        <f t="shared" si="2"/>
        <v>Ope-EMP0010</v>
      </c>
      <c r="K11" s="39">
        <f ca="1">EOMONTH('Raw Data'!E11,12*(YEAR(TODAY())-YEAR('Raw Data'!E11))+3)</f>
        <v>46356</v>
      </c>
      <c r="L11" s="17" t="str">
        <f ca="1">IF(AND('Raw Data'!H11&gt;=4,D11="Active",E11&lt;2),"Watch","")</f>
        <v/>
      </c>
      <c r="M11" s="69" t="str">
        <f>IFERROR(VLOOKUP($A11,'Raw Data'!$A$2:$C$50,3,FALSE()),"Not in first 49 rows")</f>
        <v>Operations</v>
      </c>
    </row>
    <row r="12" spans="1:13" x14ac:dyDescent="0.3">
      <c r="A12" s="68" t="str">
        <f>'Raw Data'!A12</f>
        <v>EMP0011</v>
      </c>
      <c r="B12" s="17" t="str">
        <f>INDEX('Raw Data'!$B$2:$B$301, MATCH(A12,'Raw Data'!$A$2:$A$301,0))</f>
        <v>Rahul Desai</v>
      </c>
      <c r="C12" s="17" t="str">
        <f>VLOOKUP($A12,'Raw Data'!$A$2:$C$301,3,FALSE)</f>
        <v>Finance</v>
      </c>
      <c r="D12" s="17" t="str">
        <f>IF(ISBLANK('Raw Data'!F12),"Active","Resigned")</f>
        <v>Active</v>
      </c>
      <c r="E12" s="17">
        <f ca="1">DATEDIF('Raw Data'!E12,IF(ISBLANK('Raw Data'!F12),TODAY(),'Raw Data'!F12),"Y")</f>
        <v>8</v>
      </c>
      <c r="F12" s="17" t="str">
        <f>_xlfn.IFS('Raw Data'!D12&lt;30,"Under 30",'Raw Data'!D12&lt;=40,"30-40",'Raw Data'!D12&lt;=50,"41-50",TRUE(),"51+")</f>
        <v>Under 30</v>
      </c>
      <c r="G12" s="38">
        <f>'Raw Data'!G12*12</f>
        <v>655200</v>
      </c>
      <c r="H12" s="17" t="str">
        <f t="shared" si="0"/>
        <v>High</v>
      </c>
      <c r="I12" s="17">
        <f t="shared" si="1"/>
        <v>45</v>
      </c>
      <c r="J12" s="17" t="str">
        <f t="shared" si="2"/>
        <v>Fin-EMP0011</v>
      </c>
      <c r="K12" s="39">
        <f ca="1">EOMONTH('Raw Data'!E12,12*(YEAR(TODAY())-YEAR('Raw Data'!E12))+3)</f>
        <v>46265</v>
      </c>
      <c r="L12" s="17" t="str">
        <f ca="1">IF(AND('Raw Data'!H12&gt;=4,D12="Active",E12&lt;2),"Watch","")</f>
        <v/>
      </c>
      <c r="M12" s="69" t="str">
        <f>IFERROR(VLOOKUP($A12,'Raw Data'!$A$2:$C$50,3,FALSE()),"Not in first 49 rows")</f>
        <v>Finance</v>
      </c>
    </row>
    <row r="13" spans="1:13" x14ac:dyDescent="0.3">
      <c r="A13" s="68" t="str">
        <f>'Raw Data'!A13</f>
        <v>EMP0012</v>
      </c>
      <c r="B13" s="17" t="str">
        <f>INDEX('Raw Data'!$B$2:$B$301, MATCH(A13,'Raw Data'!$A$2:$A$301,0))</f>
        <v>Ira Chopra</v>
      </c>
      <c r="C13" s="17" t="str">
        <f>VLOOKUP($A13,'Raw Data'!$A$2:$C$301,3,FALSE)</f>
        <v>HR</v>
      </c>
      <c r="D13" s="17" t="str">
        <f>IF(ISBLANK('Raw Data'!F13),"Active","Resigned")</f>
        <v>Resigned</v>
      </c>
      <c r="E13" s="17">
        <f ca="1">DATEDIF('Raw Data'!E13,IF(ISBLANK('Raw Data'!F13),TODAY(),'Raw Data'!F13),"Y")</f>
        <v>3</v>
      </c>
      <c r="F13" s="17" t="str">
        <f>_xlfn.IFS('Raw Data'!D13&lt;30,"Under 30",'Raw Data'!D13&lt;=40,"30-40",'Raw Data'!D13&lt;=50,"41-50",TRUE(),"51+")</f>
        <v>51+</v>
      </c>
      <c r="G13" s="38">
        <f>'Raw Data'!G13*12</f>
        <v>526800</v>
      </c>
      <c r="H13" s="17" t="str">
        <f t="shared" si="0"/>
        <v>Mid</v>
      </c>
      <c r="I13" s="17">
        <f t="shared" si="1"/>
        <v>167</v>
      </c>
      <c r="J13" s="17" t="str">
        <f t="shared" si="2"/>
        <v>HR-EMP0012</v>
      </c>
      <c r="K13" s="39">
        <f ca="1">EOMONTH('Raw Data'!E13,12*(YEAR(TODAY())-YEAR('Raw Data'!E13))+3)</f>
        <v>46356</v>
      </c>
      <c r="L13" s="17" t="str">
        <f ca="1">IF(AND('Raw Data'!H13&gt;=4,D13="Active",E13&lt;2),"Watch","")</f>
        <v/>
      </c>
      <c r="M13" s="69" t="str">
        <f>IFERROR(VLOOKUP($A13,'Raw Data'!$A$2:$C$50,3,FALSE()),"Not in first 49 rows")</f>
        <v>HR</v>
      </c>
    </row>
    <row r="14" spans="1:13" x14ac:dyDescent="0.3">
      <c r="A14" s="68" t="str">
        <f>'Raw Data'!A14</f>
        <v>EMP0013</v>
      </c>
      <c r="B14" s="17" t="str">
        <f>INDEX('Raw Data'!$B$2:$B$301, MATCH(A14,'Raw Data'!$A$2:$A$301,0))</f>
        <v>Shreya Kapoor</v>
      </c>
      <c r="C14" s="17" t="str">
        <f>VLOOKUP($A14,'Raw Data'!$A$2:$C$301,3,FALSE)</f>
        <v>IT</v>
      </c>
      <c r="D14" s="17" t="str">
        <f>IF(ISBLANK('Raw Data'!F14),"Active","Resigned")</f>
        <v>Resigned</v>
      </c>
      <c r="E14" s="17">
        <f ca="1">DATEDIF('Raw Data'!E14,IF(ISBLANK('Raw Data'!F14),TODAY(),'Raw Data'!F14),"Y")</f>
        <v>1</v>
      </c>
      <c r="F14" s="17" t="str">
        <f>_xlfn.IFS('Raw Data'!D14&lt;30,"Under 30",'Raw Data'!D14&lt;=40,"30-40",'Raw Data'!D14&lt;=50,"41-50",TRUE(),"51+")</f>
        <v>41-50</v>
      </c>
      <c r="G14" s="38">
        <f>'Raw Data'!G14*12</f>
        <v>674400</v>
      </c>
      <c r="H14" s="17" t="str">
        <f t="shared" si="0"/>
        <v>Premium</v>
      </c>
      <c r="I14" s="17">
        <f t="shared" si="1"/>
        <v>38</v>
      </c>
      <c r="J14" s="17" t="str">
        <f t="shared" si="2"/>
        <v>IT-EMP0013</v>
      </c>
      <c r="K14" s="39">
        <f ca="1">EOMONTH('Raw Data'!E14,12*(YEAR(TODAY())-YEAR('Raw Data'!E14))+3)</f>
        <v>46142</v>
      </c>
      <c r="L14" s="17" t="str">
        <f ca="1">IF(AND('Raw Data'!H14&gt;=4,D14="Active",E14&lt;2),"Watch","")</f>
        <v/>
      </c>
      <c r="M14" s="69" t="str">
        <f>IFERROR(VLOOKUP($A14,'Raw Data'!$A$2:$C$50,3,FALSE()),"Not in first 49 rows")</f>
        <v>IT</v>
      </c>
    </row>
    <row r="15" spans="1:13" x14ac:dyDescent="0.3">
      <c r="A15" s="68" t="str">
        <f>'Raw Data'!A15</f>
        <v>EMP0014</v>
      </c>
      <c r="B15" s="17" t="str">
        <f>INDEX('Raw Data'!$B$2:$B$301, MATCH(A15,'Raw Data'!$A$2:$A$301,0))</f>
        <v>Vihaan Kumar</v>
      </c>
      <c r="C15" s="17" t="str">
        <f>VLOOKUP($A15,'Raw Data'!$A$2:$C$301,3,FALSE)</f>
        <v>Marketing</v>
      </c>
      <c r="D15" s="17" t="str">
        <f>IF(ISBLANK('Raw Data'!F15),"Active","Resigned")</f>
        <v>Active</v>
      </c>
      <c r="E15" s="17">
        <f ca="1">DATEDIF('Raw Data'!E15,IF(ISBLANK('Raw Data'!F15),TODAY(),'Raw Data'!F15),"Y")</f>
        <v>1</v>
      </c>
      <c r="F15" s="17" t="str">
        <f>_xlfn.IFS('Raw Data'!D15&lt;30,"Under 30",'Raw Data'!D15&lt;=40,"30-40",'Raw Data'!D15&lt;=50,"41-50",TRUE(),"51+")</f>
        <v>30-40</v>
      </c>
      <c r="G15" s="38">
        <f>'Raw Data'!G15*12</f>
        <v>531600</v>
      </c>
      <c r="H15" s="17" t="str">
        <f t="shared" si="0"/>
        <v>Mid</v>
      </c>
      <c r="I15" s="17">
        <f t="shared" si="1"/>
        <v>161</v>
      </c>
      <c r="J15" s="17" t="str">
        <f t="shared" si="2"/>
        <v>Mar-EMP0014</v>
      </c>
      <c r="K15" s="39">
        <f ca="1">EOMONTH('Raw Data'!E15,12*(YEAR(TODAY())-YEAR('Raw Data'!E15))+3)</f>
        <v>46446</v>
      </c>
      <c r="L15" s="17" t="str">
        <f ca="1">IF(AND('Raw Data'!H15&gt;=4,D15="Active",E15&lt;2),"Watch","")</f>
        <v/>
      </c>
      <c r="M15" s="69" t="str">
        <f>IFERROR(VLOOKUP($A15,'Raw Data'!$A$2:$C$50,3,FALSE()),"Not in first 49 rows")</f>
        <v>Marketing</v>
      </c>
    </row>
    <row r="16" spans="1:13" x14ac:dyDescent="0.3">
      <c r="A16" s="68" t="str">
        <f>'Raw Data'!A16</f>
        <v>EMP0015</v>
      </c>
      <c r="B16" s="17" t="str">
        <f>INDEX('Raw Data'!$B$2:$B$301, MATCH(A16,'Raw Data'!$A$2:$A$301,0))</f>
        <v>Swati Malhotra</v>
      </c>
      <c r="C16" s="17" t="str">
        <f>VLOOKUP($A16,'Raw Data'!$A$2:$C$301,3,FALSE)</f>
        <v>IT</v>
      </c>
      <c r="D16" s="17" t="str">
        <f>IF(ISBLANK('Raw Data'!F16),"Active","Resigned")</f>
        <v>Active</v>
      </c>
      <c r="E16" s="17">
        <f ca="1">DATEDIF('Raw Data'!E16,IF(ISBLANK('Raw Data'!F16),TODAY(),'Raw Data'!F16),"Y")</f>
        <v>4</v>
      </c>
      <c r="F16" s="17" t="str">
        <f>_xlfn.IFS('Raw Data'!D16&lt;30,"Under 30",'Raw Data'!D16&lt;=40,"30-40",'Raw Data'!D16&lt;=50,"41-50",TRUE(),"51+")</f>
        <v>30-40</v>
      </c>
      <c r="G16" s="38">
        <f>'Raw Data'!G16*12</f>
        <v>531600</v>
      </c>
      <c r="H16" s="17" t="str">
        <f t="shared" si="0"/>
        <v>Mid</v>
      </c>
      <c r="I16" s="17">
        <f t="shared" si="1"/>
        <v>161</v>
      </c>
      <c r="J16" s="17" t="str">
        <f t="shared" si="2"/>
        <v>IT-EMP0015</v>
      </c>
      <c r="K16" s="39">
        <f ca="1">EOMONTH('Raw Data'!E16,12*(YEAR(TODAY())-YEAR('Raw Data'!E16))+3)</f>
        <v>46203</v>
      </c>
      <c r="L16" s="17" t="str">
        <f ca="1">IF(AND('Raw Data'!H16&gt;=4,D16="Active",E16&lt;2),"Watch","")</f>
        <v/>
      </c>
      <c r="M16" s="69" t="str">
        <f>IFERROR(VLOOKUP($A16,'Raw Data'!$A$2:$C$50,3,FALSE()),"Not in first 49 rows")</f>
        <v>IT</v>
      </c>
    </row>
    <row r="17" spans="1:13" x14ac:dyDescent="0.3">
      <c r="A17" s="68" t="str">
        <f>'Raw Data'!A17</f>
        <v>EMP0016</v>
      </c>
      <c r="B17" s="17" t="str">
        <f>INDEX('Raw Data'!$B$2:$B$301, MATCH(A17,'Raw Data'!$A$2:$A$301,0))</f>
        <v>Sunita Iyer</v>
      </c>
      <c r="C17" s="17" t="str">
        <f>VLOOKUP($A17,'Raw Data'!$A$2:$C$301,3,FALSE)</f>
        <v>Operations</v>
      </c>
      <c r="D17" s="17" t="str">
        <f>IF(ISBLANK('Raw Data'!F17),"Active","Resigned")</f>
        <v>Active</v>
      </c>
      <c r="E17" s="17">
        <f ca="1">DATEDIF('Raw Data'!E17,IF(ISBLANK('Raw Data'!F17),TODAY(),'Raw Data'!F17),"Y")</f>
        <v>9</v>
      </c>
      <c r="F17" s="17" t="str">
        <f>_xlfn.IFS('Raw Data'!D17&lt;30,"Under 30",'Raw Data'!D17&lt;=40,"30-40",'Raw Data'!D17&lt;=50,"41-50",TRUE(),"51+")</f>
        <v>41-50</v>
      </c>
      <c r="G17" s="38">
        <f>'Raw Data'!G17*12</f>
        <v>393600</v>
      </c>
      <c r="H17" s="17" t="str">
        <f t="shared" si="0"/>
        <v>Low</v>
      </c>
      <c r="I17" s="17">
        <f t="shared" si="1"/>
        <v>268</v>
      </c>
      <c r="J17" s="17" t="str">
        <f t="shared" si="2"/>
        <v>Ope-EMP0016</v>
      </c>
      <c r="K17" s="39">
        <f ca="1">EOMONTH('Raw Data'!E17,12*(YEAR(TODAY())-YEAR('Raw Data'!E17))+3)</f>
        <v>46234</v>
      </c>
      <c r="L17" s="17" t="str">
        <f ca="1">IF(AND('Raw Data'!H17&gt;=4,D17="Active",E17&lt;2),"Watch","")</f>
        <v/>
      </c>
      <c r="M17" s="69" t="str">
        <f>IFERROR(VLOOKUP($A17,'Raw Data'!$A$2:$C$50,3,FALSE()),"Not in first 49 rows")</f>
        <v>Operations</v>
      </c>
    </row>
    <row r="18" spans="1:13" x14ac:dyDescent="0.3">
      <c r="A18" s="68" t="str">
        <f>'Raw Data'!A18</f>
        <v>EMP0017</v>
      </c>
      <c r="B18" s="17" t="str">
        <f>INDEX('Raw Data'!$B$2:$B$301, MATCH(A18,'Raw Data'!$A$2:$A$301,0))</f>
        <v>Kiara Bhat</v>
      </c>
      <c r="C18" s="17" t="str">
        <f>VLOOKUP($A18,'Raw Data'!$A$2:$C$301,3,FALSE)</f>
        <v>Marketing</v>
      </c>
      <c r="D18" s="17" t="str">
        <f>IF(ISBLANK('Raw Data'!F18),"Active","Resigned")</f>
        <v>Active</v>
      </c>
      <c r="E18" s="17">
        <f ca="1">DATEDIF('Raw Data'!E18,IF(ISBLANK('Raw Data'!F18),TODAY(),'Raw Data'!F18),"Y")</f>
        <v>9</v>
      </c>
      <c r="F18" s="17" t="str">
        <f>_xlfn.IFS('Raw Data'!D18&lt;30,"Under 30",'Raw Data'!D18&lt;=40,"30-40",'Raw Data'!D18&lt;=50,"41-50",TRUE(),"51+")</f>
        <v>51+</v>
      </c>
      <c r="G18" s="38">
        <f>'Raw Data'!G18*12</f>
        <v>446400</v>
      </c>
      <c r="H18" s="17" t="str">
        <f t="shared" si="0"/>
        <v>Mid</v>
      </c>
      <c r="I18" s="17">
        <f t="shared" si="1"/>
        <v>229</v>
      </c>
      <c r="J18" s="17" t="str">
        <f t="shared" si="2"/>
        <v>Mar-EMP0017</v>
      </c>
      <c r="K18" s="39">
        <f ca="1">EOMONTH('Raw Data'!E18,12*(YEAR(TODAY())-YEAR('Raw Data'!E18))+3)</f>
        <v>46203</v>
      </c>
      <c r="L18" s="17" t="str">
        <f ca="1">IF(AND('Raw Data'!H18&gt;=4,D18="Active",E18&lt;2),"Watch","")</f>
        <v/>
      </c>
      <c r="M18" s="69" t="str">
        <f>IFERROR(VLOOKUP($A18,'Raw Data'!$A$2:$C$50,3,FALSE()),"Not in first 49 rows")</f>
        <v>Marketing</v>
      </c>
    </row>
    <row r="19" spans="1:13" x14ac:dyDescent="0.3">
      <c r="A19" s="68" t="str">
        <f>'Raw Data'!A19</f>
        <v>EMP0018</v>
      </c>
      <c r="B19" s="17" t="str">
        <f>INDEX('Raw Data'!$B$2:$B$301, MATCH(A19,'Raw Data'!$A$2:$A$301,0))</f>
        <v>Swati Reddy</v>
      </c>
      <c r="C19" s="17" t="str">
        <f>VLOOKUP($A19,'Raw Data'!$A$2:$C$301,3,FALSE)</f>
        <v>Marketing</v>
      </c>
      <c r="D19" s="17" t="str">
        <f>IF(ISBLANK('Raw Data'!F19),"Active","Resigned")</f>
        <v>Resigned</v>
      </c>
      <c r="E19" s="17">
        <f ca="1">DATEDIF('Raw Data'!E19,IF(ISBLANK('Raw Data'!F19),TODAY(),'Raw Data'!F19),"Y")</f>
        <v>1</v>
      </c>
      <c r="F19" s="17" t="str">
        <f>_xlfn.IFS('Raw Data'!D19&lt;30,"Under 30",'Raw Data'!D19&lt;=40,"30-40",'Raw Data'!D19&lt;=50,"41-50",TRUE(),"51+")</f>
        <v>41-50</v>
      </c>
      <c r="G19" s="38">
        <f>'Raw Data'!G19*12</f>
        <v>624000</v>
      </c>
      <c r="H19" s="17" t="str">
        <f t="shared" si="0"/>
        <v>High</v>
      </c>
      <c r="I19" s="17">
        <f t="shared" si="1"/>
        <v>69</v>
      </c>
      <c r="J19" s="17" t="str">
        <f t="shared" si="2"/>
        <v>Mar-EMP0018</v>
      </c>
      <c r="K19" s="39">
        <f ca="1">EOMONTH('Raw Data'!E19,12*(YEAR(TODAY())-YEAR('Raw Data'!E19))+3)</f>
        <v>46326</v>
      </c>
      <c r="L19" s="17" t="str">
        <f ca="1">IF(AND('Raw Data'!H19&gt;=4,D19="Active",E19&lt;2),"Watch","")</f>
        <v/>
      </c>
      <c r="M19" s="69" t="str">
        <f>IFERROR(VLOOKUP($A19,'Raw Data'!$A$2:$C$50,3,FALSE()),"Not in first 49 rows")</f>
        <v>Marketing</v>
      </c>
    </row>
    <row r="20" spans="1:13" x14ac:dyDescent="0.3">
      <c r="A20" s="68" t="str">
        <f>'Raw Data'!A20</f>
        <v>EMP0019</v>
      </c>
      <c r="B20" s="17" t="str">
        <f>INDEX('Raw Data'!$B$2:$B$301, MATCH(A20,'Raw Data'!$A$2:$A$301,0))</f>
        <v>Neha Sharma</v>
      </c>
      <c r="C20" s="17" t="str">
        <f>VLOOKUP($A20,'Raw Data'!$A$2:$C$301,3,FALSE)</f>
        <v>Sales</v>
      </c>
      <c r="D20" s="17" t="str">
        <f>IF(ISBLANK('Raw Data'!F20),"Active","Resigned")</f>
        <v>Active</v>
      </c>
      <c r="E20" s="17">
        <f ca="1">DATEDIF('Raw Data'!E20,IF(ISBLANK('Raw Data'!F20),TODAY(),'Raw Data'!F20),"Y")</f>
        <v>1</v>
      </c>
      <c r="F20" s="17" t="str">
        <f>_xlfn.IFS('Raw Data'!D20&lt;30,"Under 30",'Raw Data'!D20&lt;=40,"30-40",'Raw Data'!D20&lt;=50,"41-50",TRUE(),"51+")</f>
        <v>41-50</v>
      </c>
      <c r="G20" s="38">
        <f>'Raw Data'!G20*12</f>
        <v>404400</v>
      </c>
      <c r="H20" s="17" t="str">
        <f t="shared" si="0"/>
        <v>Low</v>
      </c>
      <c r="I20" s="17">
        <f t="shared" si="1"/>
        <v>260</v>
      </c>
      <c r="J20" s="17" t="str">
        <f t="shared" si="2"/>
        <v>Sal-EMP0019</v>
      </c>
      <c r="K20" s="39">
        <f ca="1">EOMONTH('Raw Data'!E20,12*(YEAR(TODAY())-YEAR('Raw Data'!E20))+3)</f>
        <v>46234</v>
      </c>
      <c r="L20" s="17" t="str">
        <f ca="1">IF(AND('Raw Data'!H20&gt;=4,D20="Active",E20&lt;2),"Watch","")</f>
        <v/>
      </c>
      <c r="M20" s="69" t="str">
        <f>IFERROR(VLOOKUP($A20,'Raw Data'!$A$2:$C$50,3,FALSE()),"Not in first 49 rows")</f>
        <v>Sales</v>
      </c>
    </row>
    <row r="21" spans="1:13" x14ac:dyDescent="0.3">
      <c r="A21" s="68" t="str">
        <f>'Raw Data'!A21</f>
        <v>EMP0020</v>
      </c>
      <c r="B21" s="17" t="str">
        <f>INDEX('Raw Data'!$B$2:$B$301, MATCH(A21,'Raw Data'!$A$2:$A$301,0))</f>
        <v>Divya Gupta</v>
      </c>
      <c r="C21" s="17" t="str">
        <f>VLOOKUP($A21,'Raw Data'!$A$2:$C$301,3,FALSE)</f>
        <v>Sales</v>
      </c>
      <c r="D21" s="17" t="str">
        <f>IF(ISBLANK('Raw Data'!F21),"Active","Resigned")</f>
        <v>Resigned</v>
      </c>
      <c r="E21" s="17">
        <f ca="1">DATEDIF('Raw Data'!E21,IF(ISBLANK('Raw Data'!F21),TODAY(),'Raw Data'!F21),"Y")</f>
        <v>1</v>
      </c>
      <c r="F21" s="17" t="str">
        <f>_xlfn.IFS('Raw Data'!D21&lt;30,"Under 30",'Raw Data'!D21&lt;=40,"30-40",'Raw Data'!D21&lt;=50,"41-50",TRUE(),"51+")</f>
        <v>51+</v>
      </c>
      <c r="G21" s="38">
        <f>'Raw Data'!G21*12</f>
        <v>489600</v>
      </c>
      <c r="H21" s="17" t="str">
        <f t="shared" si="0"/>
        <v>Mid</v>
      </c>
      <c r="I21" s="17">
        <f t="shared" si="1"/>
        <v>199</v>
      </c>
      <c r="J21" s="17" t="str">
        <f t="shared" si="2"/>
        <v>Sal-EMP0020</v>
      </c>
      <c r="K21" s="39">
        <f ca="1">EOMONTH('Raw Data'!E21,12*(YEAR(TODAY())-YEAR('Raw Data'!E21))+3)</f>
        <v>46173</v>
      </c>
      <c r="L21" s="17" t="str">
        <f ca="1">IF(AND('Raw Data'!H21&gt;=4,D21="Active",E21&lt;2),"Watch","")</f>
        <v/>
      </c>
      <c r="M21" s="69" t="str">
        <f>IFERROR(VLOOKUP($A21,'Raw Data'!$A$2:$C$50,3,FALSE()),"Not in first 49 rows")</f>
        <v>Sales</v>
      </c>
    </row>
    <row r="22" spans="1:13" x14ac:dyDescent="0.3">
      <c r="A22" s="68" t="str">
        <f>'Raw Data'!A22</f>
        <v>EMP0021</v>
      </c>
      <c r="B22" s="17" t="str">
        <f>INDEX('Raw Data'!$B$2:$B$301, MATCH(A22,'Raw Data'!$A$2:$A$301,0))</f>
        <v>Priya Pillai</v>
      </c>
      <c r="C22" s="17" t="str">
        <f>VLOOKUP($A22,'Raw Data'!$A$2:$C$301,3,FALSE)</f>
        <v>Marketing</v>
      </c>
      <c r="D22" s="17" t="str">
        <f>IF(ISBLANK('Raw Data'!F22),"Active","Resigned")</f>
        <v>Active</v>
      </c>
      <c r="E22" s="17">
        <f ca="1">DATEDIF('Raw Data'!E22,IF(ISBLANK('Raw Data'!F22),TODAY(),'Raw Data'!F22),"Y")</f>
        <v>4</v>
      </c>
      <c r="F22" s="17" t="str">
        <f>_xlfn.IFS('Raw Data'!D22&lt;30,"Under 30",'Raw Data'!D22&lt;=40,"30-40",'Raw Data'!D22&lt;=50,"41-50",TRUE(),"51+")</f>
        <v>30-40</v>
      </c>
      <c r="G22" s="38">
        <f>'Raw Data'!G22*12</f>
        <v>482400</v>
      </c>
      <c r="H22" s="17" t="str">
        <f t="shared" si="0"/>
        <v>Mid</v>
      </c>
      <c r="I22" s="17">
        <f t="shared" si="1"/>
        <v>204</v>
      </c>
      <c r="J22" s="17" t="str">
        <f t="shared" si="2"/>
        <v>Mar-EMP0021</v>
      </c>
      <c r="K22" s="39">
        <f ca="1">EOMONTH('Raw Data'!E22,12*(YEAR(TODAY())-YEAR('Raw Data'!E22))+3)</f>
        <v>46477</v>
      </c>
      <c r="L22" s="17" t="str">
        <f ca="1">IF(AND('Raw Data'!H22&gt;=4,D22="Active",E22&lt;2),"Watch","")</f>
        <v/>
      </c>
      <c r="M22" s="69" t="str">
        <f>IFERROR(VLOOKUP($A22,'Raw Data'!$A$2:$C$50,3,FALSE()),"Not in first 49 rows")</f>
        <v>Marketing</v>
      </c>
    </row>
    <row r="23" spans="1:13" x14ac:dyDescent="0.3">
      <c r="A23" s="68" t="str">
        <f>'Raw Data'!A23</f>
        <v>EMP0022</v>
      </c>
      <c r="B23" s="17" t="str">
        <f>INDEX('Raw Data'!$B$2:$B$301, MATCH(A23,'Raw Data'!$A$2:$A$301,0))</f>
        <v>Sunita Reddy</v>
      </c>
      <c r="C23" s="17" t="str">
        <f>VLOOKUP($A23,'Raw Data'!$A$2:$C$301,3,FALSE)</f>
        <v>Operations</v>
      </c>
      <c r="D23" s="17" t="str">
        <f>IF(ISBLANK('Raw Data'!F23),"Active","Resigned")</f>
        <v>Active</v>
      </c>
      <c r="E23" s="17">
        <f ca="1">DATEDIF('Raw Data'!E23,IF(ISBLANK('Raw Data'!F23),TODAY(),'Raw Data'!F23),"Y")</f>
        <v>6</v>
      </c>
      <c r="F23" s="17" t="str">
        <f>_xlfn.IFS('Raw Data'!D23&lt;30,"Under 30",'Raw Data'!D23&lt;=40,"30-40",'Raw Data'!D23&lt;=50,"41-50",TRUE(),"51+")</f>
        <v>41-50</v>
      </c>
      <c r="G23" s="38">
        <f>'Raw Data'!G23*12</f>
        <v>535200</v>
      </c>
      <c r="H23" s="17" t="str">
        <f t="shared" si="0"/>
        <v>Mid</v>
      </c>
      <c r="I23" s="17">
        <f t="shared" si="1"/>
        <v>158</v>
      </c>
      <c r="J23" s="17" t="str">
        <f t="shared" si="2"/>
        <v>Ope-EMP0022</v>
      </c>
      <c r="K23" s="39">
        <f ca="1">EOMONTH('Raw Data'!E23,12*(YEAR(TODAY())-YEAR('Raw Data'!E23))+3)</f>
        <v>46295</v>
      </c>
      <c r="L23" s="17" t="str">
        <f ca="1">IF(AND('Raw Data'!H23&gt;=4,D23="Active",E23&lt;2),"Watch","")</f>
        <v/>
      </c>
      <c r="M23" s="69" t="str">
        <f>IFERROR(VLOOKUP($A23,'Raw Data'!$A$2:$C$50,3,FALSE()),"Not in first 49 rows")</f>
        <v>Operations</v>
      </c>
    </row>
    <row r="24" spans="1:13" x14ac:dyDescent="0.3">
      <c r="A24" s="68" t="str">
        <f>'Raw Data'!A24</f>
        <v>EMP0023</v>
      </c>
      <c r="B24" s="17" t="str">
        <f>INDEX('Raw Data'!$B$2:$B$301, MATCH(A24,'Raw Data'!$A$2:$A$301,0))</f>
        <v>Kavita Malhotra</v>
      </c>
      <c r="C24" s="17" t="str">
        <f>VLOOKUP($A24,'Raw Data'!$A$2:$C$301,3,FALSE)</f>
        <v>Sales</v>
      </c>
      <c r="D24" s="17" t="str">
        <f>IF(ISBLANK('Raw Data'!F24),"Active","Resigned")</f>
        <v>Resigned</v>
      </c>
      <c r="E24" s="17">
        <f ca="1">DATEDIF('Raw Data'!E24,IF(ISBLANK('Raw Data'!F24),TODAY(),'Raw Data'!F24),"Y")</f>
        <v>0</v>
      </c>
      <c r="F24" s="17" t="str">
        <f>_xlfn.IFS('Raw Data'!D24&lt;30,"Under 30",'Raw Data'!D24&lt;=40,"30-40",'Raw Data'!D24&lt;=50,"41-50",TRUE(),"51+")</f>
        <v>30-40</v>
      </c>
      <c r="G24" s="38">
        <f>'Raw Data'!G24*12</f>
        <v>505200</v>
      </c>
      <c r="H24" s="17" t="str">
        <f t="shared" si="0"/>
        <v>Mid</v>
      </c>
      <c r="I24" s="17">
        <f t="shared" si="1"/>
        <v>181</v>
      </c>
      <c r="J24" s="17" t="str">
        <f t="shared" si="2"/>
        <v>Sal-EMP0023</v>
      </c>
      <c r="K24" s="39">
        <f ca="1">EOMONTH('Raw Data'!E24,12*(YEAR(TODAY())-YEAR('Raw Data'!E24))+3)</f>
        <v>46326</v>
      </c>
      <c r="L24" s="17" t="str">
        <f ca="1">IF(AND('Raw Data'!H24&gt;=4,D24="Active",E24&lt;2),"Watch","")</f>
        <v/>
      </c>
      <c r="M24" s="69" t="str">
        <f>IFERROR(VLOOKUP($A24,'Raw Data'!$A$2:$C$50,3,FALSE()),"Not in first 49 rows")</f>
        <v>Sales</v>
      </c>
    </row>
    <row r="25" spans="1:13" x14ac:dyDescent="0.3">
      <c r="A25" s="68" t="str">
        <f>'Raw Data'!A25</f>
        <v>EMP0024</v>
      </c>
      <c r="B25" s="17" t="str">
        <f>INDEX('Raw Data'!$B$2:$B$301, MATCH(A25,'Raw Data'!$A$2:$A$301,0))</f>
        <v>Myra Sharma</v>
      </c>
      <c r="C25" s="17" t="str">
        <f>VLOOKUP($A25,'Raw Data'!$A$2:$C$301,3,FALSE)</f>
        <v>Sales</v>
      </c>
      <c r="D25" s="17" t="str">
        <f>IF(ISBLANK('Raw Data'!F25),"Active","Resigned")</f>
        <v>Resigned</v>
      </c>
      <c r="E25" s="17">
        <f ca="1">DATEDIF('Raw Data'!E25,IF(ISBLANK('Raw Data'!F25),TODAY(),'Raw Data'!F25),"Y")</f>
        <v>0</v>
      </c>
      <c r="F25" s="17" t="str">
        <f>_xlfn.IFS('Raw Data'!D25&lt;30,"Under 30",'Raw Data'!D25&lt;=40,"30-40",'Raw Data'!D25&lt;=50,"41-50",TRUE(),"51+")</f>
        <v>Under 30</v>
      </c>
      <c r="G25" s="38">
        <f>'Raw Data'!G25*12</f>
        <v>583200</v>
      </c>
      <c r="H25" s="17" t="str">
        <f t="shared" si="0"/>
        <v>High</v>
      </c>
      <c r="I25" s="17">
        <f t="shared" si="1"/>
        <v>109</v>
      </c>
      <c r="J25" s="17" t="str">
        <f t="shared" si="2"/>
        <v>Sal-EMP0024</v>
      </c>
      <c r="K25" s="39">
        <f ca="1">EOMONTH('Raw Data'!E25,12*(YEAR(TODAY())-YEAR('Raw Data'!E25))+3)</f>
        <v>46326</v>
      </c>
      <c r="L25" s="17" t="str">
        <f ca="1">IF(AND('Raw Data'!H25&gt;=4,D25="Active",E25&lt;2),"Watch","")</f>
        <v/>
      </c>
      <c r="M25" s="69" t="str">
        <f>IFERROR(VLOOKUP($A25,'Raw Data'!$A$2:$C$50,3,FALSE()),"Not in first 49 rows")</f>
        <v>Sales</v>
      </c>
    </row>
    <row r="26" spans="1:13" x14ac:dyDescent="0.3">
      <c r="A26" s="68" t="str">
        <f>'Raw Data'!A26</f>
        <v>EMP0025</v>
      </c>
      <c r="B26" s="17" t="str">
        <f>INDEX('Raw Data'!$B$2:$B$301, MATCH(A26,'Raw Data'!$A$2:$A$301,0))</f>
        <v>Sara Iyer</v>
      </c>
      <c r="C26" s="17" t="str">
        <f>VLOOKUP($A26,'Raw Data'!$A$2:$C$301,3,FALSE)</f>
        <v>Operations</v>
      </c>
      <c r="D26" s="17" t="str">
        <f>IF(ISBLANK('Raw Data'!F26),"Active","Resigned")</f>
        <v>Active</v>
      </c>
      <c r="E26" s="17">
        <f ca="1">DATEDIF('Raw Data'!E26,IF(ISBLANK('Raw Data'!F26),TODAY(),'Raw Data'!F26),"Y")</f>
        <v>8</v>
      </c>
      <c r="F26" s="17" t="str">
        <f>_xlfn.IFS('Raw Data'!D26&lt;30,"Under 30",'Raw Data'!D26&lt;=40,"30-40",'Raw Data'!D26&lt;=50,"41-50",TRUE(),"51+")</f>
        <v>51+</v>
      </c>
      <c r="G26" s="38">
        <f>'Raw Data'!G26*12</f>
        <v>556800</v>
      </c>
      <c r="H26" s="17" t="str">
        <f t="shared" si="0"/>
        <v>High</v>
      </c>
      <c r="I26" s="17">
        <f t="shared" si="1"/>
        <v>130</v>
      </c>
      <c r="J26" s="17" t="str">
        <f t="shared" si="2"/>
        <v>Ope-EMP0025</v>
      </c>
      <c r="K26" s="39">
        <f ca="1">EOMONTH('Raw Data'!E26,12*(YEAR(TODAY())-YEAR('Raw Data'!E26))+3)</f>
        <v>46265</v>
      </c>
      <c r="L26" s="17" t="str">
        <f ca="1">IF(AND('Raw Data'!H26&gt;=4,D26="Active",E26&lt;2),"Watch","")</f>
        <v/>
      </c>
      <c r="M26" s="69" t="str">
        <f>IFERROR(VLOOKUP($A26,'Raw Data'!$A$2:$C$50,3,FALSE()),"Not in first 49 rows")</f>
        <v>Operations</v>
      </c>
    </row>
    <row r="27" spans="1:13" x14ac:dyDescent="0.3">
      <c r="A27" s="68" t="str">
        <f>'Raw Data'!A27</f>
        <v>EMP0026</v>
      </c>
      <c r="B27" s="17" t="str">
        <f>INDEX('Raw Data'!$B$2:$B$301, MATCH(A27,'Raw Data'!$A$2:$A$301,0))</f>
        <v>Divya Chopra</v>
      </c>
      <c r="C27" s="17" t="str">
        <f>VLOOKUP($A27,'Raw Data'!$A$2:$C$301,3,FALSE)</f>
        <v>Marketing</v>
      </c>
      <c r="D27" s="17" t="str">
        <f>IF(ISBLANK('Raw Data'!F27),"Active","Resigned")</f>
        <v>Active</v>
      </c>
      <c r="E27" s="17">
        <f ca="1">DATEDIF('Raw Data'!E27,IF(ISBLANK('Raw Data'!F27),TODAY(),'Raw Data'!F27),"Y")</f>
        <v>1</v>
      </c>
      <c r="F27" s="17" t="str">
        <f>_xlfn.IFS('Raw Data'!D27&lt;30,"Under 30",'Raw Data'!D27&lt;=40,"30-40",'Raw Data'!D27&lt;=50,"41-50",TRUE(),"51+")</f>
        <v>51+</v>
      </c>
      <c r="G27" s="38">
        <f>'Raw Data'!G27*12</f>
        <v>387600</v>
      </c>
      <c r="H27" s="17" t="str">
        <f t="shared" si="0"/>
        <v>Low</v>
      </c>
      <c r="I27" s="17">
        <f t="shared" si="1"/>
        <v>273</v>
      </c>
      <c r="J27" s="17" t="str">
        <f t="shared" si="2"/>
        <v>Mar-EMP0026</v>
      </c>
      <c r="K27" s="39">
        <f ca="1">EOMONTH('Raw Data'!E27,12*(YEAR(TODAY())-YEAR('Raw Data'!E27))+3)</f>
        <v>46142</v>
      </c>
      <c r="L27" s="17" t="str">
        <f ca="1">IF(AND('Raw Data'!H27&gt;=4,D27="Active",E27&lt;2),"Watch","")</f>
        <v>Watch</v>
      </c>
      <c r="M27" s="69" t="str">
        <f>IFERROR(VLOOKUP($A27,'Raw Data'!$A$2:$C$50,3,FALSE()),"Not in first 49 rows")</f>
        <v>Marketing</v>
      </c>
    </row>
    <row r="28" spans="1:13" x14ac:dyDescent="0.3">
      <c r="A28" s="68" t="str">
        <f>'Raw Data'!A28</f>
        <v>EMP0027</v>
      </c>
      <c r="B28" s="17" t="str">
        <f>INDEX('Raw Data'!$B$2:$B$301, MATCH(A28,'Raw Data'!$A$2:$A$301,0))</f>
        <v>Sanjay Kapoor</v>
      </c>
      <c r="C28" s="17" t="str">
        <f>VLOOKUP($A28,'Raw Data'!$A$2:$C$301,3,FALSE)</f>
        <v>HR</v>
      </c>
      <c r="D28" s="17" t="str">
        <f>IF(ISBLANK('Raw Data'!F28),"Active","Resigned")</f>
        <v>Resigned</v>
      </c>
      <c r="E28" s="17">
        <f ca="1">DATEDIF('Raw Data'!E28,IF(ISBLANK('Raw Data'!F28),TODAY(),'Raw Data'!F28),"Y")</f>
        <v>2</v>
      </c>
      <c r="F28" s="17" t="str">
        <f>_xlfn.IFS('Raw Data'!D28&lt;30,"Under 30",'Raw Data'!D28&lt;=40,"30-40",'Raw Data'!D28&lt;=50,"41-50",TRUE(),"51+")</f>
        <v>51+</v>
      </c>
      <c r="G28" s="38">
        <f>'Raw Data'!G28*12</f>
        <v>595200</v>
      </c>
      <c r="H28" s="17" t="str">
        <f t="shared" si="0"/>
        <v>High</v>
      </c>
      <c r="I28" s="17">
        <f t="shared" si="1"/>
        <v>97</v>
      </c>
      <c r="J28" s="17" t="str">
        <f t="shared" si="2"/>
        <v>HR-EMP0027</v>
      </c>
      <c r="K28" s="39">
        <f ca="1">EOMONTH('Raw Data'!E28,12*(YEAR(TODAY())-YEAR('Raw Data'!E28))+3)</f>
        <v>46203</v>
      </c>
      <c r="L28" s="17" t="str">
        <f ca="1">IF(AND('Raw Data'!H28&gt;=4,D28="Active",E28&lt;2),"Watch","")</f>
        <v/>
      </c>
      <c r="M28" s="69" t="str">
        <f>IFERROR(VLOOKUP($A28,'Raw Data'!$A$2:$C$50,3,FALSE()),"Not in first 49 rows")</f>
        <v>HR</v>
      </c>
    </row>
    <row r="29" spans="1:13" x14ac:dyDescent="0.3">
      <c r="A29" s="68" t="str">
        <f>'Raw Data'!A29</f>
        <v>EMP0028</v>
      </c>
      <c r="B29" s="17" t="str">
        <f>INDEX('Raw Data'!$B$2:$B$301, MATCH(A29,'Raw Data'!$A$2:$A$301,0))</f>
        <v>Manoj Mehta</v>
      </c>
      <c r="C29" s="17" t="str">
        <f>VLOOKUP($A29,'Raw Data'!$A$2:$C$301,3,FALSE)</f>
        <v>Sales</v>
      </c>
      <c r="D29" s="17" t="str">
        <f>IF(ISBLANK('Raw Data'!F29),"Active","Resigned")</f>
        <v>Resigned</v>
      </c>
      <c r="E29" s="17">
        <f ca="1">DATEDIF('Raw Data'!E29,IF(ISBLANK('Raw Data'!F29),TODAY(),'Raw Data'!F29),"Y")</f>
        <v>5</v>
      </c>
      <c r="F29" s="17" t="str">
        <f>_xlfn.IFS('Raw Data'!D29&lt;30,"Under 30",'Raw Data'!D29&lt;=40,"30-40",'Raw Data'!D29&lt;=50,"41-50",TRUE(),"51+")</f>
        <v>30-40</v>
      </c>
      <c r="G29" s="38">
        <f>'Raw Data'!G29*12</f>
        <v>376800</v>
      </c>
      <c r="H29" s="17" t="str">
        <f t="shared" si="0"/>
        <v>Low</v>
      </c>
      <c r="I29" s="17">
        <f t="shared" si="1"/>
        <v>278</v>
      </c>
      <c r="J29" s="17" t="str">
        <f t="shared" si="2"/>
        <v>Sal-EMP0028</v>
      </c>
      <c r="K29" s="39">
        <f ca="1">EOMONTH('Raw Data'!E29,12*(YEAR(TODAY())-YEAR('Raw Data'!E29))+3)</f>
        <v>46173</v>
      </c>
      <c r="L29" s="17" t="str">
        <f ca="1">IF(AND('Raw Data'!H29&gt;=4,D29="Active",E29&lt;2),"Watch","")</f>
        <v/>
      </c>
      <c r="M29" s="69" t="str">
        <f>IFERROR(VLOOKUP($A29,'Raw Data'!$A$2:$C$50,3,FALSE()),"Not in first 49 rows")</f>
        <v>Sales</v>
      </c>
    </row>
    <row r="30" spans="1:13" x14ac:dyDescent="0.3">
      <c r="A30" s="68" t="str">
        <f>'Raw Data'!A30</f>
        <v>EMP0029</v>
      </c>
      <c r="B30" s="17" t="str">
        <f>INDEX('Raw Data'!$B$2:$B$301, MATCH(A30,'Raw Data'!$A$2:$A$301,0))</f>
        <v>Rajesh Nair</v>
      </c>
      <c r="C30" s="17" t="str">
        <f>VLOOKUP($A30,'Raw Data'!$A$2:$C$301,3,FALSE)</f>
        <v>Sales</v>
      </c>
      <c r="D30" s="17" t="str">
        <f>IF(ISBLANK('Raw Data'!F30),"Active","Resigned")</f>
        <v>Active</v>
      </c>
      <c r="E30" s="17">
        <f ca="1">DATEDIF('Raw Data'!E30,IF(ISBLANK('Raw Data'!F30),TODAY(),'Raw Data'!F30),"Y")</f>
        <v>1</v>
      </c>
      <c r="F30" s="17" t="str">
        <f>_xlfn.IFS('Raw Data'!D30&lt;30,"Under 30",'Raw Data'!D30&lt;=40,"30-40",'Raw Data'!D30&lt;=50,"41-50",TRUE(),"51+")</f>
        <v>41-50</v>
      </c>
      <c r="G30" s="38">
        <f>'Raw Data'!G30*12</f>
        <v>494400</v>
      </c>
      <c r="H30" s="17" t="str">
        <f t="shared" si="0"/>
        <v>Mid</v>
      </c>
      <c r="I30" s="17">
        <f t="shared" si="1"/>
        <v>194</v>
      </c>
      <c r="J30" s="17" t="str">
        <f t="shared" si="2"/>
        <v>Sal-EMP0029</v>
      </c>
      <c r="K30" s="39">
        <f ca="1">EOMONTH('Raw Data'!E30,12*(YEAR(TODAY())-YEAR('Raw Data'!E30))+3)</f>
        <v>46142</v>
      </c>
      <c r="L30" s="17" t="str">
        <f ca="1">IF(AND('Raw Data'!H30&gt;=4,D30="Active",E30&lt;2),"Watch","")</f>
        <v/>
      </c>
      <c r="M30" s="69" t="str">
        <f>IFERROR(VLOOKUP($A30,'Raw Data'!$A$2:$C$50,3,FALSE()),"Not in first 49 rows")</f>
        <v>Sales</v>
      </c>
    </row>
    <row r="31" spans="1:13" x14ac:dyDescent="0.3">
      <c r="A31" s="68" t="str">
        <f>'Raw Data'!A31</f>
        <v>EMP0030</v>
      </c>
      <c r="B31" s="17" t="str">
        <f>INDEX('Raw Data'!$B$2:$B$301, MATCH(A31,'Raw Data'!$A$2:$A$301,0))</f>
        <v>Sunita Sharma</v>
      </c>
      <c r="C31" s="17" t="str">
        <f>VLOOKUP($A31,'Raw Data'!$A$2:$C$301,3,FALSE)</f>
        <v>Sales</v>
      </c>
      <c r="D31" s="17" t="str">
        <f>IF(ISBLANK('Raw Data'!F31),"Active","Resigned")</f>
        <v>Active</v>
      </c>
      <c r="E31" s="17">
        <f ca="1">DATEDIF('Raw Data'!E31,IF(ISBLANK('Raw Data'!F31),TODAY(),'Raw Data'!F31),"Y")</f>
        <v>8</v>
      </c>
      <c r="F31" s="17" t="str">
        <f>_xlfn.IFS('Raw Data'!D31&lt;30,"Under 30",'Raw Data'!D31&lt;=40,"30-40",'Raw Data'!D31&lt;=50,"41-50",TRUE(),"51+")</f>
        <v>30-40</v>
      </c>
      <c r="G31" s="38">
        <f>'Raw Data'!G31*12</f>
        <v>475200</v>
      </c>
      <c r="H31" s="17" t="str">
        <f t="shared" si="0"/>
        <v>Mid</v>
      </c>
      <c r="I31" s="17">
        <f t="shared" si="1"/>
        <v>207</v>
      </c>
      <c r="J31" s="17" t="str">
        <f t="shared" si="2"/>
        <v>Sal-EMP0030</v>
      </c>
      <c r="K31" s="39">
        <f ca="1">EOMONTH('Raw Data'!E31,12*(YEAR(TODAY())-YEAR('Raw Data'!E31))+3)</f>
        <v>46446</v>
      </c>
      <c r="L31" s="17" t="str">
        <f ca="1">IF(AND('Raw Data'!H31&gt;=4,D31="Active",E31&lt;2),"Watch","")</f>
        <v/>
      </c>
      <c r="M31" s="69" t="str">
        <f>IFERROR(VLOOKUP($A31,'Raw Data'!$A$2:$C$50,3,FALSE()),"Not in first 49 rows")</f>
        <v>Sales</v>
      </c>
    </row>
    <row r="32" spans="1:13" x14ac:dyDescent="0.3">
      <c r="A32" s="68" t="str">
        <f>'Raw Data'!A32</f>
        <v>EMP0031</v>
      </c>
      <c r="B32" s="17" t="str">
        <f>INDEX('Raw Data'!$B$2:$B$301, MATCH(A32,'Raw Data'!$A$2:$A$301,0))</f>
        <v>Vihaan Patel</v>
      </c>
      <c r="C32" s="17" t="str">
        <f>VLOOKUP($A32,'Raw Data'!$A$2:$C$301,3,FALSE)</f>
        <v>HR</v>
      </c>
      <c r="D32" s="17" t="str">
        <f>IF(ISBLANK('Raw Data'!F32),"Active","Resigned")</f>
        <v>Resigned</v>
      </c>
      <c r="E32" s="17">
        <f ca="1">DATEDIF('Raw Data'!E32,IF(ISBLANK('Raw Data'!F32),TODAY(),'Raw Data'!F32),"Y")</f>
        <v>5</v>
      </c>
      <c r="F32" s="17" t="str">
        <f>_xlfn.IFS('Raw Data'!D32&lt;30,"Under 30",'Raw Data'!D32&lt;=40,"30-40",'Raw Data'!D32&lt;=50,"41-50",TRUE(),"51+")</f>
        <v>Under 30</v>
      </c>
      <c r="G32" s="38">
        <f>'Raw Data'!G32*12</f>
        <v>393600</v>
      </c>
      <c r="H32" s="17" t="str">
        <f t="shared" si="0"/>
        <v>Low</v>
      </c>
      <c r="I32" s="17">
        <f t="shared" si="1"/>
        <v>268</v>
      </c>
      <c r="J32" s="17" t="str">
        <f t="shared" si="2"/>
        <v>HR-EMP0031</v>
      </c>
      <c r="K32" s="39">
        <f ca="1">EOMONTH('Raw Data'!E32,12*(YEAR(TODAY())-YEAR('Raw Data'!E32))+3)</f>
        <v>46265</v>
      </c>
      <c r="L32" s="17" t="str">
        <f ca="1">IF(AND('Raw Data'!H32&gt;=4,D32="Active",E32&lt;2),"Watch","")</f>
        <v/>
      </c>
      <c r="M32" s="69" t="str">
        <f>IFERROR(VLOOKUP($A32,'Raw Data'!$A$2:$C$50,3,FALSE()),"Not in first 49 rows")</f>
        <v>HR</v>
      </c>
    </row>
    <row r="33" spans="1:13" x14ac:dyDescent="0.3">
      <c r="A33" s="68" t="str">
        <f>'Raw Data'!A33</f>
        <v>EMP0032</v>
      </c>
      <c r="B33" s="17" t="str">
        <f>INDEX('Raw Data'!$B$2:$B$301, MATCH(A33,'Raw Data'!$A$2:$A$301,0))</f>
        <v>Meera Chopra</v>
      </c>
      <c r="C33" s="17" t="str">
        <f>VLOOKUP($A33,'Raw Data'!$A$2:$C$301,3,FALSE)</f>
        <v>Marketing</v>
      </c>
      <c r="D33" s="17" t="str">
        <f>IF(ISBLANK('Raw Data'!F33),"Active","Resigned")</f>
        <v>Resigned</v>
      </c>
      <c r="E33" s="17">
        <f ca="1">DATEDIF('Raw Data'!E33,IF(ISBLANK('Raw Data'!F33),TODAY(),'Raw Data'!F33),"Y")</f>
        <v>0</v>
      </c>
      <c r="F33" s="17" t="str">
        <f>_xlfn.IFS('Raw Data'!D33&lt;30,"Under 30",'Raw Data'!D33&lt;=40,"30-40",'Raw Data'!D33&lt;=50,"41-50",TRUE(),"51+")</f>
        <v>30-40</v>
      </c>
      <c r="G33" s="38">
        <f>'Raw Data'!G33*12</f>
        <v>526800</v>
      </c>
      <c r="H33" s="17" t="str">
        <f t="shared" si="0"/>
        <v>Mid</v>
      </c>
      <c r="I33" s="17">
        <f t="shared" si="1"/>
        <v>167</v>
      </c>
      <c r="J33" s="17" t="str">
        <f t="shared" si="2"/>
        <v>Mar-EMP0032</v>
      </c>
      <c r="K33" s="39">
        <f ca="1">EOMONTH('Raw Data'!E33,12*(YEAR(TODAY())-YEAR('Raw Data'!E33))+3)</f>
        <v>46234</v>
      </c>
      <c r="L33" s="17" t="str">
        <f ca="1">IF(AND('Raw Data'!H33&gt;=4,D33="Active",E33&lt;2),"Watch","")</f>
        <v/>
      </c>
      <c r="M33" s="69" t="str">
        <f>IFERROR(VLOOKUP($A33,'Raw Data'!$A$2:$C$50,3,FALSE()),"Not in first 49 rows")</f>
        <v>Marketing</v>
      </c>
    </row>
    <row r="34" spans="1:13" x14ac:dyDescent="0.3">
      <c r="A34" s="68" t="str">
        <f>'Raw Data'!A34</f>
        <v>EMP0033</v>
      </c>
      <c r="B34" s="17" t="str">
        <f>INDEX('Raw Data'!$B$2:$B$301, MATCH(A34,'Raw Data'!$A$2:$A$301,0))</f>
        <v>Rahul Verma</v>
      </c>
      <c r="C34" s="17" t="str">
        <f>VLOOKUP($A34,'Raw Data'!$A$2:$C$301,3,FALSE)</f>
        <v>Sales</v>
      </c>
      <c r="D34" s="17" t="str">
        <f>IF(ISBLANK('Raw Data'!F34),"Active","Resigned")</f>
        <v>Active</v>
      </c>
      <c r="E34" s="17">
        <f ca="1">DATEDIF('Raw Data'!E34,IF(ISBLANK('Raw Data'!F34),TODAY(),'Raw Data'!F34),"Y")</f>
        <v>4</v>
      </c>
      <c r="F34" s="17" t="str">
        <f>_xlfn.IFS('Raw Data'!D34&lt;30,"Under 30",'Raw Data'!D34&lt;=40,"30-40",'Raw Data'!D34&lt;=50,"41-50",TRUE(),"51+")</f>
        <v>51+</v>
      </c>
      <c r="G34" s="38">
        <f>'Raw Data'!G34*12</f>
        <v>488400</v>
      </c>
      <c r="H34" s="17" t="str">
        <f t="shared" si="0"/>
        <v>Mid</v>
      </c>
      <c r="I34" s="17">
        <f t="shared" si="1"/>
        <v>201</v>
      </c>
      <c r="J34" s="17" t="str">
        <f t="shared" si="2"/>
        <v>Sal-EMP0033</v>
      </c>
      <c r="K34" s="39">
        <f ca="1">EOMONTH('Raw Data'!E34,12*(YEAR(TODAY())-YEAR('Raw Data'!E34))+3)</f>
        <v>46356</v>
      </c>
      <c r="L34" s="17" t="str">
        <f ca="1">IF(AND('Raw Data'!H34&gt;=4,D34="Active",E34&lt;2),"Watch","")</f>
        <v/>
      </c>
      <c r="M34" s="69" t="str">
        <f>IFERROR(VLOOKUP($A34,'Raw Data'!$A$2:$C$50,3,FALSE()),"Not in first 49 rows")</f>
        <v>Sales</v>
      </c>
    </row>
    <row r="35" spans="1:13" x14ac:dyDescent="0.3">
      <c r="A35" s="68" t="str">
        <f>'Raw Data'!A35</f>
        <v>EMP0034</v>
      </c>
      <c r="B35" s="17" t="str">
        <f>INDEX('Raw Data'!$B$2:$B$301, MATCH(A35,'Raw Data'!$A$2:$A$301,0))</f>
        <v>Pooja Gupta</v>
      </c>
      <c r="C35" s="17" t="str">
        <f>VLOOKUP($A35,'Raw Data'!$A$2:$C$301,3,FALSE)</f>
        <v>Marketing</v>
      </c>
      <c r="D35" s="17" t="str">
        <f>IF(ISBLANK('Raw Data'!F35),"Active","Resigned")</f>
        <v>Resigned</v>
      </c>
      <c r="E35" s="17">
        <f ca="1">DATEDIF('Raw Data'!E35,IF(ISBLANK('Raw Data'!F35),TODAY(),'Raw Data'!F35),"Y")</f>
        <v>1</v>
      </c>
      <c r="F35" s="17" t="str">
        <f>_xlfn.IFS('Raw Data'!D35&lt;30,"Under 30",'Raw Data'!D35&lt;=40,"30-40",'Raw Data'!D35&lt;=50,"41-50",TRUE(),"51+")</f>
        <v>Under 30</v>
      </c>
      <c r="G35" s="38">
        <f>'Raw Data'!G35*12</f>
        <v>476400</v>
      </c>
      <c r="H35" s="17" t="str">
        <f t="shared" si="0"/>
        <v>Mid</v>
      </c>
      <c r="I35" s="17">
        <f t="shared" si="1"/>
        <v>206</v>
      </c>
      <c r="J35" s="17" t="str">
        <f t="shared" si="2"/>
        <v>Mar-EMP0034</v>
      </c>
      <c r="K35" s="39">
        <f ca="1">EOMONTH('Raw Data'!E35,12*(YEAR(TODAY())-YEAR('Raw Data'!E35))+3)</f>
        <v>46387</v>
      </c>
      <c r="L35" s="17" t="str">
        <f ca="1">IF(AND('Raw Data'!H35&gt;=4,D35="Active",E35&lt;2),"Watch","")</f>
        <v/>
      </c>
      <c r="M35" s="69" t="str">
        <f>IFERROR(VLOOKUP($A35,'Raw Data'!$A$2:$C$50,3,FALSE()),"Not in first 49 rows")</f>
        <v>Marketing</v>
      </c>
    </row>
    <row r="36" spans="1:13" x14ac:dyDescent="0.3">
      <c r="A36" s="68" t="str">
        <f>'Raw Data'!A36</f>
        <v>EMP0035</v>
      </c>
      <c r="B36" s="17" t="str">
        <f>INDEX('Raw Data'!$B$2:$B$301, MATCH(A36,'Raw Data'!$A$2:$A$301,0))</f>
        <v>Divya Nair</v>
      </c>
      <c r="C36" s="17" t="str">
        <f>VLOOKUP($A36,'Raw Data'!$A$2:$C$301,3,FALSE)</f>
        <v>IT</v>
      </c>
      <c r="D36" s="17" t="str">
        <f>IF(ISBLANK('Raw Data'!F36),"Active","Resigned")</f>
        <v>Resigned</v>
      </c>
      <c r="E36" s="17">
        <f ca="1">DATEDIF('Raw Data'!E36,IF(ISBLANK('Raw Data'!F36),TODAY(),'Raw Data'!F36),"Y")</f>
        <v>3</v>
      </c>
      <c r="F36" s="17" t="str">
        <f>_xlfn.IFS('Raw Data'!D36&lt;30,"Under 30",'Raw Data'!D36&lt;=40,"30-40",'Raw Data'!D36&lt;=50,"41-50",TRUE(),"51+")</f>
        <v>Under 30</v>
      </c>
      <c r="G36" s="38">
        <f>'Raw Data'!G36*12</f>
        <v>691200</v>
      </c>
      <c r="H36" s="17" t="str">
        <f t="shared" si="0"/>
        <v>Premium</v>
      </c>
      <c r="I36" s="17">
        <f t="shared" si="1"/>
        <v>32</v>
      </c>
      <c r="J36" s="17" t="str">
        <f t="shared" si="2"/>
        <v>IT-EMP0035</v>
      </c>
      <c r="K36" s="39">
        <f ca="1">EOMONTH('Raw Data'!E36,12*(YEAR(TODAY())-YEAR('Raw Data'!E36))+3)</f>
        <v>46477</v>
      </c>
      <c r="L36" s="17" t="str">
        <f ca="1">IF(AND('Raw Data'!H36&gt;=4,D36="Active",E36&lt;2),"Watch","")</f>
        <v/>
      </c>
      <c r="M36" s="69" t="str">
        <f>IFERROR(VLOOKUP($A36,'Raw Data'!$A$2:$C$50,3,FALSE()),"Not in first 49 rows")</f>
        <v>IT</v>
      </c>
    </row>
    <row r="37" spans="1:13" x14ac:dyDescent="0.3">
      <c r="A37" s="68" t="str">
        <f>'Raw Data'!A37</f>
        <v>EMP0036</v>
      </c>
      <c r="B37" s="17" t="str">
        <f>INDEX('Raw Data'!$B$2:$B$301, MATCH(A37,'Raw Data'!$A$2:$A$301,0))</f>
        <v>Kiara Reddy</v>
      </c>
      <c r="C37" s="17" t="str">
        <f>VLOOKUP($A37,'Raw Data'!$A$2:$C$301,3,FALSE)</f>
        <v>Operations</v>
      </c>
      <c r="D37" s="17" t="str">
        <f>IF(ISBLANK('Raw Data'!F37),"Active","Resigned")</f>
        <v>Resigned</v>
      </c>
      <c r="E37" s="17">
        <f ca="1">DATEDIF('Raw Data'!E37,IF(ISBLANK('Raw Data'!F37),TODAY(),'Raw Data'!F37),"Y")</f>
        <v>1</v>
      </c>
      <c r="F37" s="17" t="str">
        <f>_xlfn.IFS('Raw Data'!D37&lt;30,"Under 30",'Raw Data'!D37&lt;=40,"30-40",'Raw Data'!D37&lt;=50,"41-50",TRUE(),"51+")</f>
        <v>41-50</v>
      </c>
      <c r="G37" s="38">
        <f>'Raw Data'!G37*12</f>
        <v>541200</v>
      </c>
      <c r="H37" s="17" t="str">
        <f t="shared" si="0"/>
        <v>High</v>
      </c>
      <c r="I37" s="17">
        <f t="shared" si="1"/>
        <v>150</v>
      </c>
      <c r="J37" s="17" t="str">
        <f t="shared" si="2"/>
        <v>Ope-EMP0036</v>
      </c>
      <c r="K37" s="39">
        <f ca="1">EOMONTH('Raw Data'!E37,12*(YEAR(TODAY())-YEAR('Raw Data'!E37))+3)</f>
        <v>46387</v>
      </c>
      <c r="L37" s="17" t="str">
        <f ca="1">IF(AND('Raw Data'!H37&gt;=4,D37="Active",E37&lt;2),"Watch","")</f>
        <v/>
      </c>
      <c r="M37" s="69" t="str">
        <f>IFERROR(VLOOKUP($A37,'Raw Data'!$A$2:$C$50,3,FALSE()),"Not in first 49 rows")</f>
        <v>Operations</v>
      </c>
    </row>
    <row r="38" spans="1:13" x14ac:dyDescent="0.3">
      <c r="A38" s="68" t="str">
        <f>'Raw Data'!A38</f>
        <v>EMP0037</v>
      </c>
      <c r="B38" s="17" t="str">
        <f>INDEX('Raw Data'!$B$2:$B$301, MATCH(A38,'Raw Data'!$A$2:$A$301,0))</f>
        <v>Rahul Gupta</v>
      </c>
      <c r="C38" s="17" t="str">
        <f>VLOOKUP($A38,'Raw Data'!$A$2:$C$301,3,FALSE)</f>
        <v>Sales</v>
      </c>
      <c r="D38" s="17" t="str">
        <f>IF(ISBLANK('Raw Data'!F38),"Active","Resigned")</f>
        <v>Active</v>
      </c>
      <c r="E38" s="17">
        <f ca="1">DATEDIF('Raw Data'!E38,IF(ISBLANK('Raw Data'!F38),TODAY(),'Raw Data'!F38),"Y")</f>
        <v>3</v>
      </c>
      <c r="F38" s="17" t="str">
        <f>_xlfn.IFS('Raw Data'!D38&lt;30,"Under 30",'Raw Data'!D38&lt;=40,"30-40",'Raw Data'!D38&lt;=50,"41-50",TRUE(),"51+")</f>
        <v>51+</v>
      </c>
      <c r="G38" s="38">
        <f>'Raw Data'!G38*12</f>
        <v>622800</v>
      </c>
      <c r="H38" s="17" t="str">
        <f t="shared" si="0"/>
        <v>High</v>
      </c>
      <c r="I38" s="17">
        <f t="shared" si="1"/>
        <v>70</v>
      </c>
      <c r="J38" s="17" t="str">
        <f t="shared" si="2"/>
        <v>Sal-EMP0037</v>
      </c>
      <c r="K38" s="39">
        <f ca="1">EOMONTH('Raw Data'!E38,12*(YEAR(TODAY())-YEAR('Raw Data'!E38))+3)</f>
        <v>46477</v>
      </c>
      <c r="L38" s="17" t="str">
        <f ca="1">IF(AND('Raw Data'!H38&gt;=4,D38="Active",E38&lt;2),"Watch","")</f>
        <v/>
      </c>
      <c r="M38" s="69" t="str">
        <f>IFERROR(VLOOKUP($A38,'Raw Data'!$A$2:$C$50,3,FALSE()),"Not in first 49 rows")</f>
        <v>Sales</v>
      </c>
    </row>
    <row r="39" spans="1:13" x14ac:dyDescent="0.3">
      <c r="A39" s="68" t="str">
        <f>'Raw Data'!A39</f>
        <v>EMP0038</v>
      </c>
      <c r="B39" s="17" t="str">
        <f>INDEX('Raw Data'!$B$2:$B$301, MATCH(A39,'Raw Data'!$A$2:$A$301,0))</f>
        <v>Ira Bhat</v>
      </c>
      <c r="C39" s="17" t="str">
        <f>VLOOKUP($A39,'Raw Data'!$A$2:$C$301,3,FALSE)</f>
        <v>Finance</v>
      </c>
      <c r="D39" s="17" t="str">
        <f>IF(ISBLANK('Raw Data'!F39),"Active","Resigned")</f>
        <v>Active</v>
      </c>
      <c r="E39" s="17">
        <f ca="1">DATEDIF('Raw Data'!E39,IF(ISBLANK('Raw Data'!F39),TODAY(),'Raw Data'!F39),"Y")</f>
        <v>6</v>
      </c>
      <c r="F39" s="17" t="str">
        <f>_xlfn.IFS('Raw Data'!D39&lt;30,"Under 30",'Raw Data'!D39&lt;=40,"30-40",'Raw Data'!D39&lt;=50,"41-50",TRUE(),"51+")</f>
        <v>30-40</v>
      </c>
      <c r="G39" s="38">
        <f>'Raw Data'!G39*12</f>
        <v>745200</v>
      </c>
      <c r="H39" s="17" t="str">
        <f t="shared" si="0"/>
        <v>Premium</v>
      </c>
      <c r="I39" s="17">
        <f t="shared" si="1"/>
        <v>19</v>
      </c>
      <c r="J39" s="17" t="str">
        <f t="shared" si="2"/>
        <v>Fin-EMP0038</v>
      </c>
      <c r="K39" s="39">
        <f ca="1">EOMONTH('Raw Data'!E39,12*(YEAR(TODAY())-YEAR('Raw Data'!E39))+3)</f>
        <v>46446</v>
      </c>
      <c r="L39" s="17" t="str">
        <f ca="1">IF(AND('Raw Data'!H39&gt;=4,D39="Active",E39&lt;2),"Watch","")</f>
        <v/>
      </c>
      <c r="M39" s="69" t="str">
        <f>IFERROR(VLOOKUP($A39,'Raw Data'!$A$2:$C$50,3,FALSE()),"Not in first 49 rows")</f>
        <v>Finance</v>
      </c>
    </row>
    <row r="40" spans="1:13" x14ac:dyDescent="0.3">
      <c r="A40" s="68" t="str">
        <f>'Raw Data'!A40</f>
        <v>EMP0039</v>
      </c>
      <c r="B40" s="17" t="str">
        <f>INDEX('Raw Data'!$B$2:$B$301, MATCH(A40,'Raw Data'!$A$2:$A$301,0))</f>
        <v>Ananya Malhotra</v>
      </c>
      <c r="C40" s="17" t="str">
        <f>VLOOKUP($A40,'Raw Data'!$A$2:$C$301,3,FALSE)</f>
        <v>IT</v>
      </c>
      <c r="D40" s="17" t="str">
        <f>IF(ISBLANK('Raw Data'!F40),"Active","Resigned")</f>
        <v>Active</v>
      </c>
      <c r="E40" s="17">
        <f ca="1">DATEDIF('Raw Data'!E40,IF(ISBLANK('Raw Data'!F40),TODAY(),'Raw Data'!F40),"Y")</f>
        <v>3</v>
      </c>
      <c r="F40" s="17" t="str">
        <f>_xlfn.IFS('Raw Data'!D40&lt;30,"Under 30",'Raw Data'!D40&lt;=40,"30-40",'Raw Data'!D40&lt;=50,"41-50",TRUE(),"51+")</f>
        <v>41-50</v>
      </c>
      <c r="G40" s="38">
        <f>'Raw Data'!G40*12</f>
        <v>760800</v>
      </c>
      <c r="H40" s="17" t="str">
        <f t="shared" si="0"/>
        <v>Premium</v>
      </c>
      <c r="I40" s="17">
        <f t="shared" si="1"/>
        <v>15</v>
      </c>
      <c r="J40" s="17" t="str">
        <f t="shared" si="2"/>
        <v>IT-EMP0039</v>
      </c>
      <c r="K40" s="39">
        <f ca="1">EOMONTH('Raw Data'!E40,12*(YEAR(TODAY())-YEAR('Raw Data'!E40))+3)</f>
        <v>46446</v>
      </c>
      <c r="L40" s="17" t="str">
        <f ca="1">IF(AND('Raw Data'!H40&gt;=4,D40="Active",E40&lt;2),"Watch","")</f>
        <v/>
      </c>
      <c r="M40" s="69" t="str">
        <f>IFERROR(VLOOKUP($A40,'Raw Data'!$A$2:$C$50,3,FALSE()),"Not in first 49 rows")</f>
        <v>IT</v>
      </c>
    </row>
    <row r="41" spans="1:13" x14ac:dyDescent="0.3">
      <c r="A41" s="68" t="str">
        <f>'Raw Data'!A41</f>
        <v>EMP0040</v>
      </c>
      <c r="B41" s="17" t="str">
        <f>INDEX('Raw Data'!$B$2:$B$301, MATCH(A41,'Raw Data'!$A$2:$A$301,0))</f>
        <v>Meera Rao</v>
      </c>
      <c r="C41" s="17" t="str">
        <f>VLOOKUP($A41,'Raw Data'!$A$2:$C$301,3,FALSE)</f>
        <v>Operations</v>
      </c>
      <c r="D41" s="17" t="str">
        <f>IF(ISBLANK('Raw Data'!F41),"Active","Resigned")</f>
        <v>Resigned</v>
      </c>
      <c r="E41" s="17">
        <f ca="1">DATEDIF('Raw Data'!E41,IF(ISBLANK('Raw Data'!F41),TODAY(),'Raw Data'!F41),"Y")</f>
        <v>1</v>
      </c>
      <c r="F41" s="17" t="str">
        <f>_xlfn.IFS('Raw Data'!D41&lt;30,"Under 30",'Raw Data'!D41&lt;=40,"30-40",'Raw Data'!D41&lt;=50,"41-50",TRUE(),"51+")</f>
        <v>Under 30</v>
      </c>
      <c r="G41" s="38">
        <f>'Raw Data'!G41*12</f>
        <v>561600</v>
      </c>
      <c r="H41" s="17" t="str">
        <f t="shared" si="0"/>
        <v>High</v>
      </c>
      <c r="I41" s="17">
        <f t="shared" si="1"/>
        <v>125</v>
      </c>
      <c r="J41" s="17" t="str">
        <f t="shared" si="2"/>
        <v>Ope-EMP0040</v>
      </c>
      <c r="K41" s="39">
        <f ca="1">EOMONTH('Raw Data'!E41,12*(YEAR(TODAY())-YEAR('Raw Data'!E41))+3)</f>
        <v>46326</v>
      </c>
      <c r="L41" s="17" t="str">
        <f ca="1">IF(AND('Raw Data'!H41&gt;=4,D41="Active",E41&lt;2),"Watch","")</f>
        <v/>
      </c>
      <c r="M41" s="69" t="str">
        <f>IFERROR(VLOOKUP($A41,'Raw Data'!$A$2:$C$50,3,FALSE()),"Not in first 49 rows")</f>
        <v>Operations</v>
      </c>
    </row>
    <row r="42" spans="1:13" x14ac:dyDescent="0.3">
      <c r="A42" s="68" t="str">
        <f>'Raw Data'!A42</f>
        <v>EMP0041</v>
      </c>
      <c r="B42" s="17" t="str">
        <f>INDEX('Raw Data'!$B$2:$B$301, MATCH(A42,'Raw Data'!$A$2:$A$301,0))</f>
        <v>Riya Agarwal</v>
      </c>
      <c r="C42" s="17" t="str">
        <f>VLOOKUP($A42,'Raw Data'!$A$2:$C$301,3,FALSE)</f>
        <v>Marketing</v>
      </c>
      <c r="D42" s="17" t="str">
        <f>IF(ISBLANK('Raw Data'!F42),"Active","Resigned")</f>
        <v>Active</v>
      </c>
      <c r="E42" s="17">
        <f ca="1">DATEDIF('Raw Data'!E42,IF(ISBLANK('Raw Data'!F42),TODAY(),'Raw Data'!F42),"Y")</f>
        <v>8</v>
      </c>
      <c r="F42" s="17" t="str">
        <f>_xlfn.IFS('Raw Data'!D42&lt;30,"Under 30",'Raw Data'!D42&lt;=40,"30-40",'Raw Data'!D42&lt;=50,"41-50",TRUE(),"51+")</f>
        <v>41-50</v>
      </c>
      <c r="G42" s="38">
        <f>'Raw Data'!G42*12</f>
        <v>606000</v>
      </c>
      <c r="H42" s="17" t="str">
        <f t="shared" si="0"/>
        <v>High</v>
      </c>
      <c r="I42" s="17">
        <f t="shared" si="1"/>
        <v>88</v>
      </c>
      <c r="J42" s="17" t="str">
        <f t="shared" si="2"/>
        <v>Mar-EMP0041</v>
      </c>
      <c r="K42" s="39">
        <f ca="1">EOMONTH('Raw Data'!E42,12*(YEAR(TODAY())-YEAR('Raw Data'!E42))+3)</f>
        <v>46234</v>
      </c>
      <c r="L42" s="17" t="str">
        <f ca="1">IF(AND('Raw Data'!H42&gt;=4,D42="Active",E42&lt;2),"Watch","")</f>
        <v/>
      </c>
      <c r="M42" s="69" t="str">
        <f>IFERROR(VLOOKUP($A42,'Raw Data'!$A$2:$C$50,3,FALSE()),"Not in first 49 rows")</f>
        <v>Marketing</v>
      </c>
    </row>
    <row r="43" spans="1:13" x14ac:dyDescent="0.3">
      <c r="A43" s="68" t="str">
        <f>'Raw Data'!A43</f>
        <v>EMP0042</v>
      </c>
      <c r="B43" s="17" t="str">
        <f>INDEX('Raw Data'!$B$2:$B$301, MATCH(A43,'Raw Data'!$A$2:$A$301,0))</f>
        <v>Kiara Verma</v>
      </c>
      <c r="C43" s="17" t="str">
        <f>VLOOKUP($A43,'Raw Data'!$A$2:$C$301,3,FALSE)</f>
        <v>Sales</v>
      </c>
      <c r="D43" s="17" t="str">
        <f>IF(ISBLANK('Raw Data'!F43),"Active","Resigned")</f>
        <v>Resigned</v>
      </c>
      <c r="E43" s="17">
        <f ca="1">DATEDIF('Raw Data'!E43,IF(ISBLANK('Raw Data'!F43),TODAY(),'Raw Data'!F43),"Y")</f>
        <v>0</v>
      </c>
      <c r="F43" s="17" t="str">
        <f>_xlfn.IFS('Raw Data'!D43&lt;30,"Under 30",'Raw Data'!D43&lt;=40,"30-40",'Raw Data'!D43&lt;=50,"41-50",TRUE(),"51+")</f>
        <v>41-50</v>
      </c>
      <c r="G43" s="38">
        <f>'Raw Data'!G43*12</f>
        <v>432000</v>
      </c>
      <c r="H43" s="17" t="str">
        <f t="shared" si="0"/>
        <v>Mid</v>
      </c>
      <c r="I43" s="17">
        <f t="shared" si="1"/>
        <v>240</v>
      </c>
      <c r="J43" s="17" t="str">
        <f t="shared" si="2"/>
        <v>Sal-EMP0042</v>
      </c>
      <c r="K43" s="39">
        <f ca="1">EOMONTH('Raw Data'!E43,12*(YEAR(TODAY())-YEAR('Raw Data'!E43))+3)</f>
        <v>46234</v>
      </c>
      <c r="L43" s="17" t="str">
        <f ca="1">IF(AND('Raw Data'!H43&gt;=4,D43="Active",E43&lt;2),"Watch","")</f>
        <v/>
      </c>
      <c r="M43" s="69" t="str">
        <f>IFERROR(VLOOKUP($A43,'Raw Data'!$A$2:$C$50,3,FALSE()),"Not in first 49 rows")</f>
        <v>Sales</v>
      </c>
    </row>
    <row r="44" spans="1:13" x14ac:dyDescent="0.3">
      <c r="A44" s="68" t="str">
        <f>'Raw Data'!A44</f>
        <v>EMP0043</v>
      </c>
      <c r="B44" s="17" t="str">
        <f>INDEX('Raw Data'!$B$2:$B$301, MATCH(A44,'Raw Data'!$A$2:$A$301,0))</f>
        <v>Kiara Patel</v>
      </c>
      <c r="C44" s="17" t="str">
        <f>VLOOKUP($A44,'Raw Data'!$A$2:$C$301,3,FALSE)</f>
        <v>Operations</v>
      </c>
      <c r="D44" s="17" t="str">
        <f>IF(ISBLANK('Raw Data'!F44),"Active","Resigned")</f>
        <v>Active</v>
      </c>
      <c r="E44" s="17">
        <f ca="1">DATEDIF('Raw Data'!E44,IF(ISBLANK('Raw Data'!F44),TODAY(),'Raw Data'!F44),"Y")</f>
        <v>4</v>
      </c>
      <c r="F44" s="17" t="str">
        <f>_xlfn.IFS('Raw Data'!D44&lt;30,"Under 30",'Raw Data'!D44&lt;=40,"30-40",'Raw Data'!D44&lt;=50,"41-50",TRUE(),"51+")</f>
        <v>41-50</v>
      </c>
      <c r="G44" s="38">
        <f>'Raw Data'!G44*12</f>
        <v>510000</v>
      </c>
      <c r="H44" s="17" t="str">
        <f t="shared" si="0"/>
        <v>Mid</v>
      </c>
      <c r="I44" s="17">
        <f t="shared" si="1"/>
        <v>177</v>
      </c>
      <c r="J44" s="17" t="str">
        <f t="shared" si="2"/>
        <v>Ope-EMP0043</v>
      </c>
      <c r="K44" s="39">
        <f ca="1">EOMONTH('Raw Data'!E44,12*(YEAR(TODAY())-YEAR('Raw Data'!E44))+3)</f>
        <v>46203</v>
      </c>
      <c r="L44" s="17" t="str">
        <f ca="1">IF(AND('Raw Data'!H44&gt;=4,D44="Active",E44&lt;2),"Watch","")</f>
        <v/>
      </c>
      <c r="M44" s="69" t="str">
        <f>IFERROR(VLOOKUP($A44,'Raw Data'!$A$2:$C$50,3,FALSE()),"Not in first 49 rows")</f>
        <v>Operations</v>
      </c>
    </row>
    <row r="45" spans="1:13" x14ac:dyDescent="0.3">
      <c r="A45" s="68" t="str">
        <f>'Raw Data'!A45</f>
        <v>EMP0044</v>
      </c>
      <c r="B45" s="17" t="str">
        <f>INDEX('Raw Data'!$B$2:$B$301, MATCH(A45,'Raw Data'!$A$2:$A$301,0))</f>
        <v>Karan Pillai</v>
      </c>
      <c r="C45" s="17" t="str">
        <f>VLOOKUP($A45,'Raw Data'!$A$2:$C$301,3,FALSE)</f>
        <v>Sales</v>
      </c>
      <c r="D45" s="17" t="str">
        <f>IF(ISBLANK('Raw Data'!F45),"Active","Resigned")</f>
        <v>Active</v>
      </c>
      <c r="E45" s="17">
        <f ca="1">DATEDIF('Raw Data'!E45,IF(ISBLANK('Raw Data'!F45),TODAY(),'Raw Data'!F45),"Y")</f>
        <v>4</v>
      </c>
      <c r="F45" s="17" t="str">
        <f>_xlfn.IFS('Raw Data'!D45&lt;30,"Under 30",'Raw Data'!D45&lt;=40,"30-40",'Raw Data'!D45&lt;=50,"41-50",TRUE(),"51+")</f>
        <v>41-50</v>
      </c>
      <c r="G45" s="38">
        <f>'Raw Data'!G45*12</f>
        <v>459600</v>
      </c>
      <c r="H45" s="17" t="str">
        <f t="shared" si="0"/>
        <v>Mid</v>
      </c>
      <c r="I45" s="17">
        <f t="shared" si="1"/>
        <v>219</v>
      </c>
      <c r="J45" s="17" t="str">
        <f t="shared" si="2"/>
        <v>Sal-EMP0044</v>
      </c>
      <c r="K45" s="39">
        <f ca="1">EOMONTH('Raw Data'!E45,12*(YEAR(TODAY())-YEAR('Raw Data'!E45))+3)</f>
        <v>46326</v>
      </c>
      <c r="L45" s="17" t="str">
        <f ca="1">IF(AND('Raw Data'!H45&gt;=4,D45="Active",E45&lt;2),"Watch","")</f>
        <v/>
      </c>
      <c r="M45" s="69" t="str">
        <f>IFERROR(VLOOKUP($A45,'Raw Data'!$A$2:$C$50,3,FALSE()),"Not in first 49 rows")</f>
        <v>Sales</v>
      </c>
    </row>
    <row r="46" spans="1:13" x14ac:dyDescent="0.3">
      <c r="A46" s="68" t="str">
        <f>'Raw Data'!A46</f>
        <v>EMP0045</v>
      </c>
      <c r="B46" s="17" t="str">
        <f>INDEX('Raw Data'!$B$2:$B$301, MATCH(A46,'Raw Data'!$A$2:$A$301,0))</f>
        <v>Vikram Verma</v>
      </c>
      <c r="C46" s="17" t="str">
        <f>VLOOKUP($A46,'Raw Data'!$A$2:$C$301,3,FALSE)</f>
        <v>Finance</v>
      </c>
      <c r="D46" s="17" t="str">
        <f>IF(ISBLANK('Raw Data'!F46),"Active","Resigned")</f>
        <v>Resigned</v>
      </c>
      <c r="E46" s="17">
        <f ca="1">DATEDIF('Raw Data'!E46,IF(ISBLANK('Raw Data'!F46),TODAY(),'Raw Data'!F46),"Y")</f>
        <v>0</v>
      </c>
      <c r="F46" s="17" t="str">
        <f>_xlfn.IFS('Raw Data'!D46&lt;30,"Under 30",'Raw Data'!D46&lt;=40,"30-40",'Raw Data'!D46&lt;=50,"41-50",TRUE(),"51+")</f>
        <v>30-40</v>
      </c>
      <c r="G46" s="38">
        <f>'Raw Data'!G46*12</f>
        <v>594000</v>
      </c>
      <c r="H46" s="17" t="str">
        <f t="shared" si="0"/>
        <v>High</v>
      </c>
      <c r="I46" s="17">
        <f t="shared" si="1"/>
        <v>98</v>
      </c>
      <c r="J46" s="17" t="str">
        <f t="shared" si="2"/>
        <v>Fin-EMP0045</v>
      </c>
      <c r="K46" s="39">
        <f ca="1">EOMONTH('Raw Data'!E46,12*(YEAR(TODAY())-YEAR('Raw Data'!E46))+3)</f>
        <v>46356</v>
      </c>
      <c r="L46" s="17" t="str">
        <f ca="1">IF(AND('Raw Data'!H46&gt;=4,D46="Active",E46&lt;2),"Watch","")</f>
        <v/>
      </c>
      <c r="M46" s="69" t="str">
        <f>IFERROR(VLOOKUP($A46,'Raw Data'!$A$2:$C$50,3,FALSE()),"Not in first 49 rows")</f>
        <v>Finance</v>
      </c>
    </row>
    <row r="47" spans="1:13" x14ac:dyDescent="0.3">
      <c r="A47" s="68" t="str">
        <f>'Raw Data'!A47</f>
        <v>EMP0046</v>
      </c>
      <c r="B47" s="17" t="str">
        <f>INDEX('Raw Data'!$B$2:$B$301, MATCH(A47,'Raw Data'!$A$2:$A$301,0))</f>
        <v>Suresh Agarwal</v>
      </c>
      <c r="C47" s="17" t="str">
        <f>VLOOKUP($A47,'Raw Data'!$A$2:$C$301,3,FALSE)</f>
        <v>Operations</v>
      </c>
      <c r="D47" s="17" t="str">
        <f>IF(ISBLANK('Raw Data'!F47),"Active","Resigned")</f>
        <v>Active</v>
      </c>
      <c r="E47" s="17">
        <f ca="1">DATEDIF('Raw Data'!E47,IF(ISBLANK('Raw Data'!F47),TODAY(),'Raw Data'!F47),"Y")</f>
        <v>7</v>
      </c>
      <c r="F47" s="17" t="str">
        <f>_xlfn.IFS('Raw Data'!D47&lt;30,"Under 30",'Raw Data'!D47&lt;=40,"30-40",'Raw Data'!D47&lt;=50,"41-50",TRUE(),"51+")</f>
        <v>30-40</v>
      </c>
      <c r="G47" s="38">
        <f>'Raw Data'!G47*12</f>
        <v>628800</v>
      </c>
      <c r="H47" s="17" t="str">
        <f t="shared" si="0"/>
        <v>High</v>
      </c>
      <c r="I47" s="17">
        <f t="shared" si="1"/>
        <v>61</v>
      </c>
      <c r="J47" s="17" t="str">
        <f t="shared" si="2"/>
        <v>Ope-EMP0046</v>
      </c>
      <c r="K47" s="39">
        <f ca="1">EOMONTH('Raw Data'!E47,12*(YEAR(TODAY())-YEAR('Raw Data'!E47))+3)</f>
        <v>46356</v>
      </c>
      <c r="L47" s="17" t="str">
        <f ca="1">IF(AND('Raw Data'!H47&gt;=4,D47="Active",E47&lt;2),"Watch","")</f>
        <v/>
      </c>
      <c r="M47" s="69" t="str">
        <f>IFERROR(VLOOKUP($A47,'Raw Data'!$A$2:$C$50,3,FALSE()),"Not in first 49 rows")</f>
        <v>Operations</v>
      </c>
    </row>
    <row r="48" spans="1:13" x14ac:dyDescent="0.3">
      <c r="A48" s="68" t="str">
        <f>'Raw Data'!A48</f>
        <v>EMP0047</v>
      </c>
      <c r="B48" s="17" t="str">
        <f>INDEX('Raw Data'!$B$2:$B$301, MATCH(A48,'Raw Data'!$A$2:$A$301,0))</f>
        <v>Suresh Sharma</v>
      </c>
      <c r="C48" s="17" t="str">
        <f>VLOOKUP($A48,'Raw Data'!$A$2:$C$301,3,FALSE)</f>
        <v>Marketing</v>
      </c>
      <c r="D48" s="17" t="str">
        <f>IF(ISBLANK('Raw Data'!F48),"Active","Resigned")</f>
        <v>Active</v>
      </c>
      <c r="E48" s="17">
        <f ca="1">DATEDIF('Raw Data'!E48,IF(ISBLANK('Raw Data'!F48),TODAY(),'Raw Data'!F48),"Y")</f>
        <v>1</v>
      </c>
      <c r="F48" s="17" t="str">
        <f>_xlfn.IFS('Raw Data'!D48&lt;30,"Under 30",'Raw Data'!D48&lt;=40,"30-40",'Raw Data'!D48&lt;=50,"41-50",TRUE(),"51+")</f>
        <v>41-50</v>
      </c>
      <c r="G48" s="38">
        <f>'Raw Data'!G48*12</f>
        <v>591600</v>
      </c>
      <c r="H48" s="17" t="str">
        <f t="shared" si="0"/>
        <v>High</v>
      </c>
      <c r="I48" s="17">
        <f t="shared" si="1"/>
        <v>103</v>
      </c>
      <c r="J48" s="17" t="str">
        <f t="shared" si="2"/>
        <v>Mar-EMP0047</v>
      </c>
      <c r="K48" s="39">
        <f ca="1">EOMONTH('Raw Data'!E48,12*(YEAR(TODAY())-YEAR('Raw Data'!E48))+3)</f>
        <v>46418</v>
      </c>
      <c r="L48" s="17" t="str">
        <f ca="1">IF(AND('Raw Data'!H48&gt;=4,D48="Active",E48&lt;2),"Watch","")</f>
        <v>Watch</v>
      </c>
      <c r="M48" s="69" t="str">
        <f>IFERROR(VLOOKUP($A48,'Raw Data'!$A$2:$C$50,3,FALSE()),"Not in first 49 rows")</f>
        <v>Marketing</v>
      </c>
    </row>
    <row r="49" spans="1:13" x14ac:dyDescent="0.3">
      <c r="A49" s="68" t="str">
        <f>'Raw Data'!A49</f>
        <v>EMP0048</v>
      </c>
      <c r="B49" s="17" t="str">
        <f>INDEX('Raw Data'!$B$2:$B$301, MATCH(A49,'Raw Data'!$A$2:$A$301,0))</f>
        <v>Sara Iyer</v>
      </c>
      <c r="C49" s="17" t="str">
        <f>VLOOKUP($A49,'Raw Data'!$A$2:$C$301,3,FALSE)</f>
        <v>Marketing</v>
      </c>
      <c r="D49" s="17" t="str">
        <f>IF(ISBLANK('Raw Data'!F49),"Active","Resigned")</f>
        <v>Active</v>
      </c>
      <c r="E49" s="17">
        <f ca="1">DATEDIF('Raw Data'!E49,IF(ISBLANK('Raw Data'!F49),TODAY(),'Raw Data'!F49),"Y")</f>
        <v>6</v>
      </c>
      <c r="F49" s="17" t="str">
        <f>_xlfn.IFS('Raw Data'!D49&lt;30,"Under 30",'Raw Data'!D49&lt;=40,"30-40",'Raw Data'!D49&lt;=50,"41-50",TRUE(),"51+")</f>
        <v>Under 30</v>
      </c>
      <c r="G49" s="38">
        <f>'Raw Data'!G49*12</f>
        <v>607200</v>
      </c>
      <c r="H49" s="17" t="str">
        <f t="shared" si="0"/>
        <v>High</v>
      </c>
      <c r="I49" s="17">
        <f t="shared" si="1"/>
        <v>85</v>
      </c>
      <c r="J49" s="17" t="str">
        <f t="shared" si="2"/>
        <v>Mar-EMP0048</v>
      </c>
      <c r="K49" s="39">
        <f ca="1">EOMONTH('Raw Data'!E49,12*(YEAR(TODAY())-YEAR('Raw Data'!E49))+3)</f>
        <v>46234</v>
      </c>
      <c r="L49" s="17" t="str">
        <f ca="1">IF(AND('Raw Data'!H49&gt;=4,D49="Active",E49&lt;2),"Watch","")</f>
        <v/>
      </c>
      <c r="M49" s="69" t="str">
        <f>IFERROR(VLOOKUP($A49,'Raw Data'!$A$2:$C$50,3,FALSE()),"Not in first 49 rows")</f>
        <v>Marketing</v>
      </c>
    </row>
    <row r="50" spans="1:13" x14ac:dyDescent="0.3">
      <c r="A50" s="68" t="str">
        <f>'Raw Data'!A50</f>
        <v>EMP0049</v>
      </c>
      <c r="B50" s="17" t="str">
        <f>INDEX('Raw Data'!$B$2:$B$301, MATCH(A50,'Raw Data'!$A$2:$A$301,0))</f>
        <v>Rajesh Joshi</v>
      </c>
      <c r="C50" s="17" t="str">
        <f>VLOOKUP($A50,'Raw Data'!$A$2:$C$301,3,FALSE)</f>
        <v>Finance</v>
      </c>
      <c r="D50" s="17" t="str">
        <f>IF(ISBLANK('Raw Data'!F50),"Active","Resigned")</f>
        <v>Resigned</v>
      </c>
      <c r="E50" s="17">
        <f ca="1">DATEDIF('Raw Data'!E50,IF(ISBLANK('Raw Data'!F50),TODAY(),'Raw Data'!F50),"Y")</f>
        <v>2</v>
      </c>
      <c r="F50" s="17" t="str">
        <f>_xlfn.IFS('Raw Data'!D50&lt;30,"Under 30",'Raw Data'!D50&lt;=40,"30-40",'Raw Data'!D50&lt;=50,"41-50",TRUE(),"51+")</f>
        <v>30-40</v>
      </c>
      <c r="G50" s="38">
        <f>'Raw Data'!G50*12</f>
        <v>607200</v>
      </c>
      <c r="H50" s="17" t="str">
        <f t="shared" si="0"/>
        <v>High</v>
      </c>
      <c r="I50" s="17">
        <f t="shared" si="1"/>
        <v>85</v>
      </c>
      <c r="J50" s="17" t="str">
        <f t="shared" si="2"/>
        <v>Fin-EMP0049</v>
      </c>
      <c r="K50" s="39">
        <f ca="1">EOMONTH('Raw Data'!E50,12*(YEAR(TODAY())-YEAR('Raw Data'!E50))+3)</f>
        <v>46326</v>
      </c>
      <c r="L50" s="17" t="str">
        <f ca="1">IF(AND('Raw Data'!H50&gt;=4,D50="Active",E50&lt;2),"Watch","")</f>
        <v/>
      </c>
      <c r="M50" s="69" t="str">
        <f>IFERROR(VLOOKUP($A50,'Raw Data'!$A$2:$C$50,3,FALSE()),"Not in first 49 rows")</f>
        <v>Finance</v>
      </c>
    </row>
    <row r="51" spans="1:13" x14ac:dyDescent="0.3">
      <c r="A51" s="68" t="str">
        <f>'Raw Data'!A51</f>
        <v>EMP0050</v>
      </c>
      <c r="B51" s="17" t="str">
        <f>INDEX('Raw Data'!$B$2:$B$301, MATCH(A51,'Raw Data'!$A$2:$A$301,0))</f>
        <v>Arjun Iyer</v>
      </c>
      <c r="C51" s="17" t="str">
        <f>VLOOKUP($A51,'Raw Data'!$A$2:$C$301,3,FALSE)</f>
        <v>Finance</v>
      </c>
      <c r="D51" s="17" t="str">
        <f>IF(ISBLANK('Raw Data'!F51),"Active","Resigned")</f>
        <v>Active</v>
      </c>
      <c r="E51" s="17">
        <f ca="1">DATEDIF('Raw Data'!E51,IF(ISBLANK('Raw Data'!F51),TODAY(),'Raw Data'!F51),"Y")</f>
        <v>6</v>
      </c>
      <c r="F51" s="17" t="str">
        <f>_xlfn.IFS('Raw Data'!D51&lt;30,"Under 30",'Raw Data'!D51&lt;=40,"30-40",'Raw Data'!D51&lt;=50,"41-50",TRUE(),"51+")</f>
        <v>51+</v>
      </c>
      <c r="G51" s="38">
        <f>'Raw Data'!G51*12</f>
        <v>734400</v>
      </c>
      <c r="H51" s="17" t="str">
        <f t="shared" si="0"/>
        <v>Premium</v>
      </c>
      <c r="I51" s="17">
        <f t="shared" si="1"/>
        <v>21</v>
      </c>
      <c r="J51" s="17" t="str">
        <f t="shared" si="2"/>
        <v>Fin-EMP0050</v>
      </c>
      <c r="K51" s="39">
        <f ca="1">EOMONTH('Raw Data'!E51,12*(YEAR(TODAY())-YEAR('Raw Data'!E51))+3)</f>
        <v>46295</v>
      </c>
      <c r="L51" s="17" t="str">
        <f ca="1">IF(AND('Raw Data'!H51&gt;=4,D51="Active",E51&lt;2),"Watch","")</f>
        <v/>
      </c>
      <c r="M51" s="69" t="str">
        <f>IFERROR(VLOOKUP($A51,'Raw Data'!$A$2:$C$50,3,FALSE()),"Not in first 49 rows")</f>
        <v>Not in first 49 rows</v>
      </c>
    </row>
    <row r="52" spans="1:13" x14ac:dyDescent="0.3">
      <c r="A52" s="68" t="str">
        <f>'Raw Data'!A52</f>
        <v>EMP0051</v>
      </c>
      <c r="B52" s="17" t="str">
        <f>INDEX('Raw Data'!$B$2:$B$301, MATCH(A52,'Raw Data'!$A$2:$A$301,0))</f>
        <v>Vivaan Kumar</v>
      </c>
      <c r="C52" s="17" t="str">
        <f>VLOOKUP($A52,'Raw Data'!$A$2:$C$301,3,FALSE)</f>
        <v>Finance</v>
      </c>
      <c r="D52" s="17" t="str">
        <f>IF(ISBLANK('Raw Data'!F52),"Active","Resigned")</f>
        <v>Active</v>
      </c>
      <c r="E52" s="17">
        <f ca="1">DATEDIF('Raw Data'!E52,IF(ISBLANK('Raw Data'!F52),TODAY(),'Raw Data'!F52),"Y")</f>
        <v>4</v>
      </c>
      <c r="F52" s="17" t="str">
        <f>_xlfn.IFS('Raw Data'!D52&lt;30,"Under 30",'Raw Data'!D52&lt;=40,"30-40",'Raw Data'!D52&lt;=50,"41-50",TRUE(),"51+")</f>
        <v>30-40</v>
      </c>
      <c r="G52" s="38">
        <f>'Raw Data'!G52*12</f>
        <v>568800</v>
      </c>
      <c r="H52" s="17" t="str">
        <f t="shared" si="0"/>
        <v>High</v>
      </c>
      <c r="I52" s="17">
        <f t="shared" si="1"/>
        <v>119</v>
      </c>
      <c r="J52" s="17" t="str">
        <f t="shared" si="2"/>
        <v>Fin-EMP0051</v>
      </c>
      <c r="K52" s="39">
        <f ca="1">EOMONTH('Raw Data'!E52,12*(YEAR(TODAY())-YEAR('Raw Data'!E52))+3)</f>
        <v>46326</v>
      </c>
      <c r="L52" s="17" t="str">
        <f ca="1">IF(AND('Raw Data'!H52&gt;=4,D52="Active",E52&lt;2),"Watch","")</f>
        <v/>
      </c>
      <c r="M52" s="69" t="str">
        <f>IFERROR(VLOOKUP($A52,'Raw Data'!$A$2:$C$50,3,FALSE()),"Not in first 49 rows")</f>
        <v>Not in first 49 rows</v>
      </c>
    </row>
    <row r="53" spans="1:13" x14ac:dyDescent="0.3">
      <c r="A53" s="68" t="str">
        <f>'Raw Data'!A53</f>
        <v>EMP0052</v>
      </c>
      <c r="B53" s="17" t="str">
        <f>INDEX('Raw Data'!$B$2:$B$301, MATCH(A53,'Raw Data'!$A$2:$A$301,0))</f>
        <v>Anil Joshi</v>
      </c>
      <c r="C53" s="17" t="str">
        <f>VLOOKUP($A53,'Raw Data'!$A$2:$C$301,3,FALSE)</f>
        <v>Operations</v>
      </c>
      <c r="D53" s="17" t="str">
        <f>IF(ISBLANK('Raw Data'!F53),"Active","Resigned")</f>
        <v>Active</v>
      </c>
      <c r="E53" s="17">
        <f ca="1">DATEDIF('Raw Data'!E53,IF(ISBLANK('Raw Data'!F53),TODAY(),'Raw Data'!F53),"Y")</f>
        <v>5</v>
      </c>
      <c r="F53" s="17" t="str">
        <f>_xlfn.IFS('Raw Data'!D53&lt;30,"Under 30",'Raw Data'!D53&lt;=40,"30-40",'Raw Data'!D53&lt;=50,"41-50",TRUE(),"51+")</f>
        <v>41-50</v>
      </c>
      <c r="G53" s="38">
        <f>'Raw Data'!G53*12</f>
        <v>495600</v>
      </c>
      <c r="H53" s="17" t="str">
        <f t="shared" si="0"/>
        <v>Mid</v>
      </c>
      <c r="I53" s="17">
        <f t="shared" si="1"/>
        <v>193</v>
      </c>
      <c r="J53" s="17" t="str">
        <f t="shared" si="2"/>
        <v>Ope-EMP0052</v>
      </c>
      <c r="K53" s="39">
        <f ca="1">EOMONTH('Raw Data'!E53,12*(YEAR(TODAY())-YEAR('Raw Data'!E53))+3)</f>
        <v>46446</v>
      </c>
      <c r="L53" s="17" t="str">
        <f ca="1">IF(AND('Raw Data'!H53&gt;=4,D53="Active",E53&lt;2),"Watch","")</f>
        <v/>
      </c>
      <c r="M53" s="69" t="str">
        <f>IFERROR(VLOOKUP($A53,'Raw Data'!$A$2:$C$50,3,FALSE()),"Not in first 49 rows")</f>
        <v>Not in first 49 rows</v>
      </c>
    </row>
    <row r="54" spans="1:13" x14ac:dyDescent="0.3">
      <c r="A54" s="68" t="str">
        <f>'Raw Data'!A54</f>
        <v>EMP0053</v>
      </c>
      <c r="B54" s="17" t="str">
        <f>INDEX('Raw Data'!$B$2:$B$301, MATCH(A54,'Raw Data'!$A$2:$A$301,0))</f>
        <v>Divya Reddy</v>
      </c>
      <c r="C54" s="17" t="str">
        <f>VLOOKUP($A54,'Raw Data'!$A$2:$C$301,3,FALSE)</f>
        <v>Finance</v>
      </c>
      <c r="D54" s="17" t="str">
        <f>IF(ISBLANK('Raw Data'!F54),"Active","Resigned")</f>
        <v>Active</v>
      </c>
      <c r="E54" s="17">
        <f ca="1">DATEDIF('Raw Data'!E54,IF(ISBLANK('Raw Data'!F54),TODAY(),'Raw Data'!F54),"Y")</f>
        <v>2</v>
      </c>
      <c r="F54" s="17" t="str">
        <f>_xlfn.IFS('Raw Data'!D54&lt;30,"Under 30",'Raw Data'!D54&lt;=40,"30-40",'Raw Data'!D54&lt;=50,"41-50",TRUE(),"51+")</f>
        <v>Under 30</v>
      </c>
      <c r="G54" s="38">
        <f>'Raw Data'!G54*12</f>
        <v>642000</v>
      </c>
      <c r="H54" s="17" t="str">
        <f t="shared" si="0"/>
        <v>High</v>
      </c>
      <c r="I54" s="17">
        <f t="shared" si="1"/>
        <v>55</v>
      </c>
      <c r="J54" s="17" t="str">
        <f t="shared" si="2"/>
        <v>Fin-EMP0053</v>
      </c>
      <c r="K54" s="39">
        <f ca="1">EOMONTH('Raw Data'!E54,12*(YEAR(TODAY())-YEAR('Raw Data'!E54))+3)</f>
        <v>46477</v>
      </c>
      <c r="L54" s="17" t="str">
        <f ca="1">IF(AND('Raw Data'!H54&gt;=4,D54="Active",E54&lt;2),"Watch","")</f>
        <v/>
      </c>
      <c r="M54" s="69" t="str">
        <f>IFERROR(VLOOKUP($A54,'Raw Data'!$A$2:$C$50,3,FALSE()),"Not in first 49 rows")</f>
        <v>Not in first 49 rows</v>
      </c>
    </row>
    <row r="55" spans="1:13" x14ac:dyDescent="0.3">
      <c r="A55" s="68" t="str">
        <f>'Raw Data'!A55</f>
        <v>EMP0054</v>
      </c>
      <c r="B55" s="17" t="str">
        <f>INDEX('Raw Data'!$B$2:$B$301, MATCH(A55,'Raw Data'!$A$2:$A$301,0))</f>
        <v>Aadhya Joshi</v>
      </c>
      <c r="C55" s="17" t="str">
        <f>VLOOKUP($A55,'Raw Data'!$A$2:$C$301,3,FALSE)</f>
        <v>HR</v>
      </c>
      <c r="D55" s="17" t="str">
        <f>IF(ISBLANK('Raw Data'!F55),"Active","Resigned")</f>
        <v>Active</v>
      </c>
      <c r="E55" s="17">
        <f ca="1">DATEDIF('Raw Data'!E55,IF(ISBLANK('Raw Data'!F55),TODAY(),'Raw Data'!F55),"Y")</f>
        <v>3</v>
      </c>
      <c r="F55" s="17" t="str">
        <f>_xlfn.IFS('Raw Data'!D55&lt;30,"Under 30",'Raw Data'!D55&lt;=40,"30-40",'Raw Data'!D55&lt;=50,"41-50",TRUE(),"51+")</f>
        <v>Under 30</v>
      </c>
      <c r="G55" s="38">
        <f>'Raw Data'!G55*12</f>
        <v>492000</v>
      </c>
      <c r="H55" s="17" t="str">
        <f t="shared" si="0"/>
        <v>Mid</v>
      </c>
      <c r="I55" s="17">
        <f t="shared" si="1"/>
        <v>197</v>
      </c>
      <c r="J55" s="17" t="str">
        <f t="shared" si="2"/>
        <v>HR-EMP0054</v>
      </c>
      <c r="K55" s="39">
        <f ca="1">EOMONTH('Raw Data'!E55,12*(YEAR(TODAY())-YEAR('Raw Data'!E55))+3)</f>
        <v>46295</v>
      </c>
      <c r="L55" s="17" t="str">
        <f ca="1">IF(AND('Raw Data'!H55&gt;=4,D55="Active",E55&lt;2),"Watch","")</f>
        <v/>
      </c>
      <c r="M55" s="69" t="str">
        <f>IFERROR(VLOOKUP($A55,'Raw Data'!$A$2:$C$50,3,FALSE()),"Not in first 49 rows")</f>
        <v>Not in first 49 rows</v>
      </c>
    </row>
    <row r="56" spans="1:13" x14ac:dyDescent="0.3">
      <c r="A56" s="68" t="str">
        <f>'Raw Data'!A56</f>
        <v>EMP0055</v>
      </c>
      <c r="B56" s="17" t="str">
        <f>INDEX('Raw Data'!$B$2:$B$301, MATCH(A56,'Raw Data'!$A$2:$A$301,0))</f>
        <v>Kabir Rao</v>
      </c>
      <c r="C56" s="17" t="str">
        <f>VLOOKUP($A56,'Raw Data'!$A$2:$C$301,3,FALSE)</f>
        <v>IT</v>
      </c>
      <c r="D56" s="17" t="str">
        <f>IF(ISBLANK('Raw Data'!F56),"Active","Resigned")</f>
        <v>Active</v>
      </c>
      <c r="E56" s="17">
        <f ca="1">DATEDIF('Raw Data'!E56,IF(ISBLANK('Raw Data'!F56),TODAY(),'Raw Data'!F56),"Y")</f>
        <v>3</v>
      </c>
      <c r="F56" s="17" t="str">
        <f>_xlfn.IFS('Raw Data'!D56&lt;30,"Under 30",'Raw Data'!D56&lt;=40,"30-40",'Raw Data'!D56&lt;=50,"41-50",TRUE(),"51+")</f>
        <v>41-50</v>
      </c>
      <c r="G56" s="38">
        <f>'Raw Data'!G56*12</f>
        <v>644400</v>
      </c>
      <c r="H56" s="17" t="str">
        <f t="shared" si="0"/>
        <v>High</v>
      </c>
      <c r="I56" s="17">
        <f t="shared" si="1"/>
        <v>52</v>
      </c>
      <c r="J56" s="17" t="str">
        <f t="shared" si="2"/>
        <v>IT-EMP0055</v>
      </c>
      <c r="K56" s="39">
        <f ca="1">EOMONTH('Raw Data'!E56,12*(YEAR(TODAY())-YEAR('Raw Data'!E56))+3)</f>
        <v>46295</v>
      </c>
      <c r="L56" s="17" t="str">
        <f ca="1">IF(AND('Raw Data'!H56&gt;=4,D56="Active",E56&lt;2),"Watch","")</f>
        <v/>
      </c>
      <c r="M56" s="69" t="str">
        <f>IFERROR(VLOOKUP($A56,'Raw Data'!$A$2:$C$50,3,FALSE()),"Not in first 49 rows")</f>
        <v>Not in first 49 rows</v>
      </c>
    </row>
    <row r="57" spans="1:13" x14ac:dyDescent="0.3">
      <c r="A57" s="68" t="str">
        <f>'Raw Data'!A57</f>
        <v>EMP0056</v>
      </c>
      <c r="B57" s="17" t="str">
        <f>INDEX('Raw Data'!$B$2:$B$301, MATCH(A57,'Raw Data'!$A$2:$A$301,0))</f>
        <v>Rohan Reddy</v>
      </c>
      <c r="C57" s="17" t="str">
        <f>VLOOKUP($A57,'Raw Data'!$A$2:$C$301,3,FALSE)</f>
        <v>HR</v>
      </c>
      <c r="D57" s="17" t="str">
        <f>IF(ISBLANK('Raw Data'!F57),"Active","Resigned")</f>
        <v>Active</v>
      </c>
      <c r="E57" s="17">
        <f ca="1">DATEDIF('Raw Data'!E57,IF(ISBLANK('Raw Data'!F57),TODAY(),'Raw Data'!F57),"Y")</f>
        <v>2</v>
      </c>
      <c r="F57" s="17" t="str">
        <f>_xlfn.IFS('Raw Data'!D57&lt;30,"Under 30",'Raw Data'!D57&lt;=40,"30-40",'Raw Data'!D57&lt;=50,"41-50",TRUE(),"51+")</f>
        <v>41-50</v>
      </c>
      <c r="G57" s="38">
        <f>'Raw Data'!G57*12</f>
        <v>362400</v>
      </c>
      <c r="H57" s="17" t="str">
        <f t="shared" si="0"/>
        <v>Low</v>
      </c>
      <c r="I57" s="17">
        <f t="shared" si="1"/>
        <v>288</v>
      </c>
      <c r="J57" s="17" t="str">
        <f t="shared" si="2"/>
        <v>HR-EMP0056</v>
      </c>
      <c r="K57" s="39">
        <f ca="1">EOMONTH('Raw Data'!E57,12*(YEAR(TODAY())-YEAR('Raw Data'!E57))+3)</f>
        <v>46356</v>
      </c>
      <c r="L57" s="17" t="str">
        <f ca="1">IF(AND('Raw Data'!H57&gt;=4,D57="Active",E57&lt;2),"Watch","")</f>
        <v/>
      </c>
      <c r="M57" s="69" t="str">
        <f>IFERROR(VLOOKUP($A57,'Raw Data'!$A$2:$C$50,3,FALSE()),"Not in first 49 rows")</f>
        <v>Not in first 49 rows</v>
      </c>
    </row>
    <row r="58" spans="1:13" x14ac:dyDescent="0.3">
      <c r="A58" s="68" t="str">
        <f>'Raw Data'!A58</f>
        <v>EMP0057</v>
      </c>
      <c r="B58" s="17" t="str">
        <f>INDEX('Raw Data'!$B$2:$B$301, MATCH(A58,'Raw Data'!$A$2:$A$301,0))</f>
        <v>Manoj Pillai</v>
      </c>
      <c r="C58" s="17" t="str">
        <f>VLOOKUP($A58,'Raw Data'!$A$2:$C$301,3,FALSE)</f>
        <v>Sales</v>
      </c>
      <c r="D58" s="17" t="str">
        <f>IF(ISBLANK('Raw Data'!F58),"Active","Resigned")</f>
        <v>Resigned</v>
      </c>
      <c r="E58" s="17">
        <f ca="1">DATEDIF('Raw Data'!E58,IF(ISBLANK('Raw Data'!F58),TODAY(),'Raw Data'!F58),"Y")</f>
        <v>6</v>
      </c>
      <c r="F58" s="17" t="str">
        <f>_xlfn.IFS('Raw Data'!D58&lt;30,"Under 30",'Raw Data'!D58&lt;=40,"30-40",'Raw Data'!D58&lt;=50,"41-50",TRUE(),"51+")</f>
        <v>41-50</v>
      </c>
      <c r="G58" s="38">
        <f>'Raw Data'!G58*12</f>
        <v>511200</v>
      </c>
      <c r="H58" s="17" t="str">
        <f t="shared" si="0"/>
        <v>Mid</v>
      </c>
      <c r="I58" s="17">
        <f t="shared" si="1"/>
        <v>176</v>
      </c>
      <c r="J58" s="17" t="str">
        <f t="shared" si="2"/>
        <v>Sal-EMP0057</v>
      </c>
      <c r="K58" s="39">
        <f ca="1">EOMONTH('Raw Data'!E58,12*(YEAR(TODAY())-YEAR('Raw Data'!E58))+3)</f>
        <v>46203</v>
      </c>
      <c r="L58" s="17" t="str">
        <f ca="1">IF(AND('Raw Data'!H58&gt;=4,D58="Active",E58&lt;2),"Watch","")</f>
        <v/>
      </c>
      <c r="M58" s="69" t="str">
        <f>IFERROR(VLOOKUP($A58,'Raw Data'!$A$2:$C$50,3,FALSE()),"Not in first 49 rows")</f>
        <v>Not in first 49 rows</v>
      </c>
    </row>
    <row r="59" spans="1:13" x14ac:dyDescent="0.3">
      <c r="A59" s="68" t="str">
        <f>'Raw Data'!A59</f>
        <v>EMP0058</v>
      </c>
      <c r="B59" s="17" t="str">
        <f>INDEX('Raw Data'!$B$2:$B$301, MATCH(A59,'Raw Data'!$A$2:$A$301,0))</f>
        <v>Deepak Malhotra</v>
      </c>
      <c r="C59" s="17" t="str">
        <f>VLOOKUP($A59,'Raw Data'!$A$2:$C$301,3,FALSE)</f>
        <v>Operations</v>
      </c>
      <c r="D59" s="17" t="str">
        <f>IF(ISBLANK('Raw Data'!F59),"Active","Resigned")</f>
        <v>Active</v>
      </c>
      <c r="E59" s="17">
        <f ca="1">DATEDIF('Raw Data'!E59,IF(ISBLANK('Raw Data'!F59),TODAY(),'Raw Data'!F59),"Y")</f>
        <v>4</v>
      </c>
      <c r="F59" s="17" t="str">
        <f>_xlfn.IFS('Raw Data'!D59&lt;30,"Under 30",'Raw Data'!D59&lt;=40,"30-40",'Raw Data'!D59&lt;=50,"41-50",TRUE(),"51+")</f>
        <v>30-40</v>
      </c>
      <c r="G59" s="38">
        <f>'Raw Data'!G59*12</f>
        <v>607200</v>
      </c>
      <c r="H59" s="17" t="str">
        <f t="shared" si="0"/>
        <v>High</v>
      </c>
      <c r="I59" s="17">
        <f t="shared" si="1"/>
        <v>85</v>
      </c>
      <c r="J59" s="17" t="str">
        <f t="shared" si="2"/>
        <v>Ope-EMP0058</v>
      </c>
      <c r="K59" s="39">
        <f ca="1">EOMONTH('Raw Data'!E59,12*(YEAR(TODAY())-YEAR('Raw Data'!E59))+3)</f>
        <v>46387</v>
      </c>
      <c r="L59" s="17" t="str">
        <f ca="1">IF(AND('Raw Data'!H59&gt;=4,D59="Active",E59&lt;2),"Watch","")</f>
        <v/>
      </c>
      <c r="M59" s="69" t="str">
        <f>IFERROR(VLOOKUP($A59,'Raw Data'!$A$2:$C$50,3,FALSE()),"Not in first 49 rows")</f>
        <v>Not in first 49 rows</v>
      </c>
    </row>
    <row r="60" spans="1:13" x14ac:dyDescent="0.3">
      <c r="A60" s="68" t="str">
        <f>'Raw Data'!A60</f>
        <v>EMP0059</v>
      </c>
      <c r="B60" s="17" t="str">
        <f>INDEX('Raw Data'!$B$2:$B$301, MATCH(A60,'Raw Data'!$A$2:$A$301,0))</f>
        <v>Ananya Gupta</v>
      </c>
      <c r="C60" s="17" t="str">
        <f>VLOOKUP($A60,'Raw Data'!$A$2:$C$301,3,FALSE)</f>
        <v>Finance</v>
      </c>
      <c r="D60" s="17" t="str">
        <f>IF(ISBLANK('Raw Data'!F60),"Active","Resigned")</f>
        <v>Active</v>
      </c>
      <c r="E60" s="17">
        <f ca="1">DATEDIF('Raw Data'!E60,IF(ISBLANK('Raw Data'!F60),TODAY(),'Raw Data'!F60),"Y")</f>
        <v>3</v>
      </c>
      <c r="F60" s="17" t="str">
        <f>_xlfn.IFS('Raw Data'!D60&lt;30,"Under 30",'Raw Data'!D60&lt;=40,"30-40",'Raw Data'!D60&lt;=50,"41-50",TRUE(),"51+")</f>
        <v>51+</v>
      </c>
      <c r="G60" s="38">
        <f>'Raw Data'!G60*12</f>
        <v>588000</v>
      </c>
      <c r="H60" s="17" t="str">
        <f t="shared" si="0"/>
        <v>High</v>
      </c>
      <c r="I60" s="17">
        <f t="shared" si="1"/>
        <v>108</v>
      </c>
      <c r="J60" s="17" t="str">
        <f t="shared" si="2"/>
        <v>Fin-EMP0059</v>
      </c>
      <c r="K60" s="39">
        <f ca="1">EOMONTH('Raw Data'!E60,12*(YEAR(TODAY())-YEAR('Raw Data'!E60))+3)</f>
        <v>46295</v>
      </c>
      <c r="L60" s="17" t="str">
        <f ca="1">IF(AND('Raw Data'!H60&gt;=4,D60="Active",E60&lt;2),"Watch","")</f>
        <v/>
      </c>
      <c r="M60" s="69" t="str">
        <f>IFERROR(VLOOKUP($A60,'Raw Data'!$A$2:$C$50,3,FALSE()),"Not in first 49 rows")</f>
        <v>Not in first 49 rows</v>
      </c>
    </row>
    <row r="61" spans="1:13" x14ac:dyDescent="0.3">
      <c r="A61" s="68" t="str">
        <f>'Raw Data'!A61</f>
        <v>EMP0060</v>
      </c>
      <c r="B61" s="17" t="str">
        <f>INDEX('Raw Data'!$B$2:$B$301, MATCH(A61,'Raw Data'!$A$2:$A$301,0))</f>
        <v>Sara Rao</v>
      </c>
      <c r="C61" s="17" t="str">
        <f>VLOOKUP($A61,'Raw Data'!$A$2:$C$301,3,FALSE)</f>
        <v>Marketing</v>
      </c>
      <c r="D61" s="17" t="str">
        <f>IF(ISBLANK('Raw Data'!F61),"Active","Resigned")</f>
        <v>Resigned</v>
      </c>
      <c r="E61" s="17">
        <f ca="1">DATEDIF('Raw Data'!E61,IF(ISBLANK('Raw Data'!F61),TODAY(),'Raw Data'!F61),"Y")</f>
        <v>2</v>
      </c>
      <c r="F61" s="17" t="str">
        <f>_xlfn.IFS('Raw Data'!D61&lt;30,"Under 30",'Raw Data'!D61&lt;=40,"30-40",'Raw Data'!D61&lt;=50,"41-50",TRUE(),"51+")</f>
        <v>30-40</v>
      </c>
      <c r="G61" s="38">
        <f>'Raw Data'!G61*12</f>
        <v>643200</v>
      </c>
      <c r="H61" s="17" t="str">
        <f t="shared" si="0"/>
        <v>High</v>
      </c>
      <c r="I61" s="17">
        <f t="shared" si="1"/>
        <v>54</v>
      </c>
      <c r="J61" s="17" t="str">
        <f t="shared" si="2"/>
        <v>Mar-EMP0060</v>
      </c>
      <c r="K61" s="39">
        <f ca="1">EOMONTH('Raw Data'!E61,12*(YEAR(TODAY())-YEAR('Raw Data'!E61))+3)</f>
        <v>46356</v>
      </c>
      <c r="L61" s="17" t="str">
        <f ca="1">IF(AND('Raw Data'!H61&gt;=4,D61="Active",E61&lt;2),"Watch","")</f>
        <v/>
      </c>
      <c r="M61" s="69" t="str">
        <f>IFERROR(VLOOKUP($A61,'Raw Data'!$A$2:$C$50,3,FALSE()),"Not in first 49 rows")</f>
        <v>Not in first 49 rows</v>
      </c>
    </row>
    <row r="62" spans="1:13" x14ac:dyDescent="0.3">
      <c r="A62" s="68" t="str">
        <f>'Raw Data'!A62</f>
        <v>EMP0061</v>
      </c>
      <c r="B62" s="17" t="str">
        <f>INDEX('Raw Data'!$B$2:$B$301, MATCH(A62,'Raw Data'!$A$2:$A$301,0))</f>
        <v>Arjun Malhotra</v>
      </c>
      <c r="C62" s="17" t="str">
        <f>VLOOKUP($A62,'Raw Data'!$A$2:$C$301,3,FALSE)</f>
        <v>HR</v>
      </c>
      <c r="D62" s="17" t="str">
        <f>IF(ISBLANK('Raw Data'!F62),"Active","Resigned")</f>
        <v>Active</v>
      </c>
      <c r="E62" s="17">
        <f ca="1">DATEDIF('Raw Data'!E62,IF(ISBLANK('Raw Data'!F62),TODAY(),'Raw Data'!F62),"Y")</f>
        <v>8</v>
      </c>
      <c r="F62" s="17" t="str">
        <f>_xlfn.IFS('Raw Data'!D62&lt;30,"Under 30",'Raw Data'!D62&lt;=40,"30-40",'Raw Data'!D62&lt;=50,"41-50",TRUE(),"51+")</f>
        <v>51+</v>
      </c>
      <c r="G62" s="38">
        <f>'Raw Data'!G62*12</f>
        <v>422400</v>
      </c>
      <c r="H62" s="17" t="str">
        <f t="shared" si="0"/>
        <v>Mid</v>
      </c>
      <c r="I62" s="17">
        <f t="shared" si="1"/>
        <v>250</v>
      </c>
      <c r="J62" s="17" t="str">
        <f t="shared" si="2"/>
        <v>HR-EMP0061</v>
      </c>
      <c r="K62" s="39">
        <f ca="1">EOMONTH('Raw Data'!E62,12*(YEAR(TODAY())-YEAR('Raw Data'!E62))+3)</f>
        <v>46203</v>
      </c>
      <c r="L62" s="17" t="str">
        <f ca="1">IF(AND('Raw Data'!H62&gt;=4,D62="Active",E62&lt;2),"Watch","")</f>
        <v/>
      </c>
      <c r="M62" s="69" t="str">
        <f>IFERROR(VLOOKUP($A62,'Raw Data'!$A$2:$C$50,3,FALSE()),"Not in first 49 rows")</f>
        <v>Not in first 49 rows</v>
      </c>
    </row>
    <row r="63" spans="1:13" x14ac:dyDescent="0.3">
      <c r="A63" s="68" t="str">
        <f>'Raw Data'!A63</f>
        <v>EMP0062</v>
      </c>
      <c r="B63" s="17" t="str">
        <f>INDEX('Raw Data'!$B$2:$B$301, MATCH(A63,'Raw Data'!$A$2:$A$301,0))</f>
        <v>Karan Sharma</v>
      </c>
      <c r="C63" s="17" t="str">
        <f>VLOOKUP($A63,'Raw Data'!$A$2:$C$301,3,FALSE)</f>
        <v>Sales</v>
      </c>
      <c r="D63" s="17" t="str">
        <f>IF(ISBLANK('Raw Data'!F63),"Active","Resigned")</f>
        <v>Resigned</v>
      </c>
      <c r="E63" s="17">
        <f ca="1">DATEDIF('Raw Data'!E63,IF(ISBLANK('Raw Data'!F63),TODAY(),'Raw Data'!F63),"Y")</f>
        <v>8</v>
      </c>
      <c r="F63" s="17" t="str">
        <f>_xlfn.IFS('Raw Data'!D63&lt;30,"Under 30",'Raw Data'!D63&lt;=40,"30-40",'Raw Data'!D63&lt;=50,"41-50",TRUE(),"51+")</f>
        <v>41-50</v>
      </c>
      <c r="G63" s="38">
        <f>'Raw Data'!G63*12</f>
        <v>484800</v>
      </c>
      <c r="H63" s="17" t="str">
        <f t="shared" si="0"/>
        <v>Mid</v>
      </c>
      <c r="I63" s="17">
        <f t="shared" si="1"/>
        <v>203</v>
      </c>
      <c r="J63" s="17" t="str">
        <f t="shared" si="2"/>
        <v>Sal-EMP0062</v>
      </c>
      <c r="K63" s="39">
        <f ca="1">EOMONTH('Raw Data'!E63,12*(YEAR(TODAY())-YEAR('Raw Data'!E63))+3)</f>
        <v>46295</v>
      </c>
      <c r="L63" s="17" t="str">
        <f ca="1">IF(AND('Raw Data'!H63&gt;=4,D63="Active",E63&lt;2),"Watch","")</f>
        <v/>
      </c>
      <c r="M63" s="69" t="str">
        <f>IFERROR(VLOOKUP($A63,'Raw Data'!$A$2:$C$50,3,FALSE()),"Not in first 49 rows")</f>
        <v>Not in first 49 rows</v>
      </c>
    </row>
    <row r="64" spans="1:13" x14ac:dyDescent="0.3">
      <c r="A64" s="68" t="str">
        <f>'Raw Data'!A64</f>
        <v>EMP0063</v>
      </c>
      <c r="B64" s="17" t="str">
        <f>INDEX('Raw Data'!$B$2:$B$301, MATCH(A64,'Raw Data'!$A$2:$A$301,0))</f>
        <v>Sara Kumar</v>
      </c>
      <c r="C64" s="17" t="str">
        <f>VLOOKUP($A64,'Raw Data'!$A$2:$C$301,3,FALSE)</f>
        <v>HR</v>
      </c>
      <c r="D64" s="17" t="str">
        <f>IF(ISBLANK('Raw Data'!F64),"Active","Resigned")</f>
        <v>Active</v>
      </c>
      <c r="E64" s="17">
        <f ca="1">DATEDIF('Raw Data'!E64,IF(ISBLANK('Raw Data'!F64),TODAY(),'Raw Data'!F64),"Y")</f>
        <v>1</v>
      </c>
      <c r="F64" s="17" t="str">
        <f>_xlfn.IFS('Raw Data'!D64&lt;30,"Under 30",'Raw Data'!D64&lt;=40,"30-40",'Raw Data'!D64&lt;=50,"41-50",TRUE(),"51+")</f>
        <v>30-40</v>
      </c>
      <c r="G64" s="38">
        <f>'Raw Data'!G64*12</f>
        <v>464400</v>
      </c>
      <c r="H64" s="17" t="str">
        <f t="shared" si="0"/>
        <v>Mid</v>
      </c>
      <c r="I64" s="17">
        <f t="shared" si="1"/>
        <v>214</v>
      </c>
      <c r="J64" s="17" t="str">
        <f t="shared" si="2"/>
        <v>HR-EMP0063</v>
      </c>
      <c r="K64" s="39">
        <f ca="1">EOMONTH('Raw Data'!E64,12*(YEAR(TODAY())-YEAR('Raw Data'!E64))+3)</f>
        <v>46477</v>
      </c>
      <c r="L64" s="17" t="str">
        <f ca="1">IF(AND('Raw Data'!H64&gt;=4,D64="Active",E64&lt;2),"Watch","")</f>
        <v>Watch</v>
      </c>
      <c r="M64" s="69" t="str">
        <f>IFERROR(VLOOKUP($A64,'Raw Data'!$A$2:$C$50,3,FALSE()),"Not in first 49 rows")</f>
        <v>Not in first 49 rows</v>
      </c>
    </row>
    <row r="65" spans="1:13" x14ac:dyDescent="0.3">
      <c r="A65" s="68" t="str">
        <f>'Raw Data'!A65</f>
        <v>EMP0064</v>
      </c>
      <c r="B65" s="17" t="str">
        <f>INDEX('Raw Data'!$B$2:$B$301, MATCH(A65,'Raw Data'!$A$2:$A$301,0))</f>
        <v>Rahul Malhotra</v>
      </c>
      <c r="C65" s="17" t="str">
        <f>VLOOKUP($A65,'Raw Data'!$A$2:$C$301,3,FALSE)</f>
        <v>IT</v>
      </c>
      <c r="D65" s="17" t="str">
        <f>IF(ISBLANK('Raw Data'!F65),"Active","Resigned")</f>
        <v>Active</v>
      </c>
      <c r="E65" s="17">
        <f ca="1">DATEDIF('Raw Data'!E65,IF(ISBLANK('Raw Data'!F65),TODAY(),'Raw Data'!F65),"Y")</f>
        <v>5</v>
      </c>
      <c r="F65" s="17" t="str">
        <f>_xlfn.IFS('Raw Data'!D65&lt;30,"Under 30",'Raw Data'!D65&lt;=40,"30-40",'Raw Data'!D65&lt;=50,"41-50",TRUE(),"51+")</f>
        <v>51+</v>
      </c>
      <c r="G65" s="38">
        <f>'Raw Data'!G65*12</f>
        <v>685200</v>
      </c>
      <c r="H65" s="17" t="str">
        <f t="shared" si="0"/>
        <v>Premium</v>
      </c>
      <c r="I65" s="17">
        <f t="shared" si="1"/>
        <v>34</v>
      </c>
      <c r="J65" s="17" t="str">
        <f t="shared" si="2"/>
        <v>IT-EMP0064</v>
      </c>
      <c r="K65" s="39">
        <f ca="1">EOMONTH('Raw Data'!E65,12*(YEAR(TODAY())-YEAR('Raw Data'!E65))+3)</f>
        <v>46418</v>
      </c>
      <c r="L65" s="17" t="str">
        <f ca="1">IF(AND('Raw Data'!H65&gt;=4,D65="Active",E65&lt;2),"Watch","")</f>
        <v/>
      </c>
      <c r="M65" s="69" t="str">
        <f>IFERROR(VLOOKUP($A65,'Raw Data'!$A$2:$C$50,3,FALSE()),"Not in first 49 rows")</f>
        <v>Not in first 49 rows</v>
      </c>
    </row>
    <row r="66" spans="1:13" x14ac:dyDescent="0.3">
      <c r="A66" s="68" t="str">
        <f>'Raw Data'!A66</f>
        <v>EMP0065</v>
      </c>
      <c r="B66" s="17" t="str">
        <f>INDEX('Raw Data'!$B$2:$B$301, MATCH(A66,'Raw Data'!$A$2:$A$301,0))</f>
        <v>Priya Malhotra</v>
      </c>
      <c r="C66" s="17" t="str">
        <f>VLOOKUP($A66,'Raw Data'!$A$2:$C$301,3,FALSE)</f>
        <v>Finance</v>
      </c>
      <c r="D66" s="17" t="str">
        <f>IF(ISBLANK('Raw Data'!F66),"Active","Resigned")</f>
        <v>Resigned</v>
      </c>
      <c r="E66" s="17">
        <f ca="1">DATEDIF('Raw Data'!E66,IF(ISBLANK('Raw Data'!F66),TODAY(),'Raw Data'!F66),"Y")</f>
        <v>3</v>
      </c>
      <c r="F66" s="17" t="str">
        <f>_xlfn.IFS('Raw Data'!D66&lt;30,"Under 30",'Raw Data'!D66&lt;=40,"30-40",'Raw Data'!D66&lt;=50,"41-50",TRUE(),"51+")</f>
        <v>30-40</v>
      </c>
      <c r="G66" s="38">
        <f>'Raw Data'!G66*12</f>
        <v>631200</v>
      </c>
      <c r="H66" s="17" t="str">
        <f t="shared" si="0"/>
        <v>High</v>
      </c>
      <c r="I66" s="17">
        <f t="shared" si="1"/>
        <v>60</v>
      </c>
      <c r="J66" s="17" t="str">
        <f t="shared" si="2"/>
        <v>Fin-EMP0065</v>
      </c>
      <c r="K66" s="39">
        <f ca="1">EOMONTH('Raw Data'!E66,12*(YEAR(TODAY())-YEAR('Raw Data'!E66))+3)</f>
        <v>46173</v>
      </c>
      <c r="L66" s="17" t="str">
        <f ca="1">IF(AND('Raw Data'!H66&gt;=4,D66="Active",E66&lt;2),"Watch","")</f>
        <v/>
      </c>
      <c r="M66" s="69" t="str">
        <f>IFERROR(VLOOKUP($A66,'Raw Data'!$A$2:$C$50,3,FALSE()),"Not in first 49 rows")</f>
        <v>Not in first 49 rows</v>
      </c>
    </row>
    <row r="67" spans="1:13" x14ac:dyDescent="0.3">
      <c r="A67" s="68" t="str">
        <f>'Raw Data'!A67</f>
        <v>EMP0066</v>
      </c>
      <c r="B67" s="17" t="str">
        <f>INDEX('Raw Data'!$B$2:$B$301, MATCH(A67,'Raw Data'!$A$2:$A$301,0))</f>
        <v>Deepak Gupta</v>
      </c>
      <c r="C67" s="17" t="str">
        <f>VLOOKUP($A67,'Raw Data'!$A$2:$C$301,3,FALSE)</f>
        <v>Operations</v>
      </c>
      <c r="D67" s="17" t="str">
        <f>IF(ISBLANK('Raw Data'!F67),"Active","Resigned")</f>
        <v>Resigned</v>
      </c>
      <c r="E67" s="17">
        <f ca="1">DATEDIF('Raw Data'!E67,IF(ISBLANK('Raw Data'!F67),TODAY(),'Raw Data'!F67),"Y")</f>
        <v>3</v>
      </c>
      <c r="F67" s="17" t="str">
        <f>_xlfn.IFS('Raw Data'!D67&lt;30,"Under 30",'Raw Data'!D67&lt;=40,"30-40",'Raw Data'!D67&lt;=50,"41-50",TRUE(),"51+")</f>
        <v>30-40</v>
      </c>
      <c r="G67" s="38">
        <f>'Raw Data'!G67*12</f>
        <v>604800</v>
      </c>
      <c r="H67" s="17" t="str">
        <f t="shared" ref="H67:H130" si="3">_xlfn.IFS(G67&lt;420000,"Low",G67&lt;540000,"Mid",G67&lt;660000,"High",TRUE(),"Premium")</f>
        <v>High</v>
      </c>
      <c r="I67" s="17">
        <f t="shared" ref="I67:I130" si="4">RANK(G67,$G$2:$G$301)</f>
        <v>90</v>
      </c>
      <c r="J67" s="17" t="str">
        <f t="shared" ref="J67:J130" si="5">_xlfn.TEXTJOIN("-",TRUE(),LEFT(C67,3),A67)</f>
        <v>Ope-EMP0066</v>
      </c>
      <c r="K67" s="39">
        <f ca="1">EOMONTH('Raw Data'!E67,12*(YEAR(TODAY())-YEAR('Raw Data'!E67))+3)</f>
        <v>46356</v>
      </c>
      <c r="L67" s="17" t="str">
        <f ca="1">IF(AND('Raw Data'!H67&gt;=4,D67="Active",E67&lt;2),"Watch","")</f>
        <v/>
      </c>
      <c r="M67" s="69" t="str">
        <f>IFERROR(VLOOKUP($A67,'Raw Data'!$A$2:$C$50,3,FALSE()),"Not in first 49 rows")</f>
        <v>Not in first 49 rows</v>
      </c>
    </row>
    <row r="68" spans="1:13" x14ac:dyDescent="0.3">
      <c r="A68" s="68" t="str">
        <f>'Raw Data'!A68</f>
        <v>EMP0067</v>
      </c>
      <c r="B68" s="17" t="str">
        <f>INDEX('Raw Data'!$B$2:$B$301, MATCH(A68,'Raw Data'!$A$2:$A$301,0))</f>
        <v>Karan Nair</v>
      </c>
      <c r="C68" s="17" t="str">
        <f>VLOOKUP($A68,'Raw Data'!$A$2:$C$301,3,FALSE)</f>
        <v>HR</v>
      </c>
      <c r="D68" s="17" t="str">
        <f>IF(ISBLANK('Raw Data'!F68),"Active","Resigned")</f>
        <v>Resigned</v>
      </c>
      <c r="E68" s="17">
        <f ca="1">DATEDIF('Raw Data'!E68,IF(ISBLANK('Raw Data'!F68),TODAY(),'Raw Data'!F68),"Y")</f>
        <v>1</v>
      </c>
      <c r="F68" s="17" t="str">
        <f>_xlfn.IFS('Raw Data'!D68&lt;30,"Under 30",'Raw Data'!D68&lt;=40,"30-40",'Raw Data'!D68&lt;=50,"41-50",TRUE(),"51+")</f>
        <v>30-40</v>
      </c>
      <c r="G68" s="38">
        <f>'Raw Data'!G68*12</f>
        <v>429600</v>
      </c>
      <c r="H68" s="17" t="str">
        <f t="shared" si="3"/>
        <v>Mid</v>
      </c>
      <c r="I68" s="17">
        <f t="shared" si="4"/>
        <v>242</v>
      </c>
      <c r="J68" s="17" t="str">
        <f t="shared" si="5"/>
        <v>HR-EMP0067</v>
      </c>
      <c r="K68" s="39">
        <f ca="1">EOMONTH('Raw Data'!E68,12*(YEAR(TODAY())-YEAR('Raw Data'!E68))+3)</f>
        <v>46477</v>
      </c>
      <c r="L68" s="17" t="str">
        <f ca="1">IF(AND('Raw Data'!H68&gt;=4,D68="Active",E68&lt;2),"Watch","")</f>
        <v/>
      </c>
      <c r="M68" s="69" t="str">
        <f>IFERROR(VLOOKUP($A68,'Raw Data'!$A$2:$C$50,3,FALSE()),"Not in first 49 rows")</f>
        <v>Not in first 49 rows</v>
      </c>
    </row>
    <row r="69" spans="1:13" x14ac:dyDescent="0.3">
      <c r="A69" s="68" t="str">
        <f>'Raw Data'!A69</f>
        <v>EMP0068</v>
      </c>
      <c r="B69" s="17" t="str">
        <f>INDEX('Raw Data'!$B$2:$B$301, MATCH(A69,'Raw Data'!$A$2:$A$301,0))</f>
        <v>Suresh Verma</v>
      </c>
      <c r="C69" s="17" t="str">
        <f>VLOOKUP($A69,'Raw Data'!$A$2:$C$301,3,FALSE)</f>
        <v>Marketing</v>
      </c>
      <c r="D69" s="17" t="str">
        <f>IF(ISBLANK('Raw Data'!F69),"Active","Resigned")</f>
        <v>Active</v>
      </c>
      <c r="E69" s="17">
        <f ca="1">DATEDIF('Raw Data'!E69,IF(ISBLANK('Raw Data'!F69),TODAY(),'Raw Data'!F69),"Y")</f>
        <v>6</v>
      </c>
      <c r="F69" s="17" t="str">
        <f>_xlfn.IFS('Raw Data'!D69&lt;30,"Under 30",'Raw Data'!D69&lt;=40,"30-40",'Raw Data'!D69&lt;=50,"41-50",TRUE(),"51+")</f>
        <v>41-50</v>
      </c>
      <c r="G69" s="38">
        <f>'Raw Data'!G69*12</f>
        <v>528000</v>
      </c>
      <c r="H69" s="17" t="str">
        <f t="shared" si="3"/>
        <v>Mid</v>
      </c>
      <c r="I69" s="17">
        <f t="shared" si="4"/>
        <v>166</v>
      </c>
      <c r="J69" s="17" t="str">
        <f t="shared" si="5"/>
        <v>Mar-EMP0068</v>
      </c>
      <c r="K69" s="39">
        <f ca="1">EOMONTH('Raw Data'!E69,12*(YEAR(TODAY())-YEAR('Raw Data'!E69))+3)</f>
        <v>46265</v>
      </c>
      <c r="L69" s="17" t="str">
        <f ca="1">IF(AND('Raw Data'!H69&gt;=4,D69="Active",E69&lt;2),"Watch","")</f>
        <v/>
      </c>
      <c r="M69" s="69" t="str">
        <f>IFERROR(VLOOKUP($A69,'Raw Data'!$A$2:$C$50,3,FALSE()),"Not in first 49 rows")</f>
        <v>Not in first 49 rows</v>
      </c>
    </row>
    <row r="70" spans="1:13" x14ac:dyDescent="0.3">
      <c r="A70" s="68" t="str">
        <f>'Raw Data'!A70</f>
        <v>EMP0069</v>
      </c>
      <c r="B70" s="17" t="str">
        <f>INDEX('Raw Data'!$B$2:$B$301, MATCH(A70,'Raw Data'!$A$2:$A$301,0))</f>
        <v>Divya Desai</v>
      </c>
      <c r="C70" s="17" t="str">
        <f>VLOOKUP($A70,'Raw Data'!$A$2:$C$301,3,FALSE)</f>
        <v>HR</v>
      </c>
      <c r="D70" s="17" t="str">
        <f>IF(ISBLANK('Raw Data'!F70),"Active","Resigned")</f>
        <v>Active</v>
      </c>
      <c r="E70" s="17">
        <f ca="1">DATEDIF('Raw Data'!E70,IF(ISBLANK('Raw Data'!F70),TODAY(),'Raw Data'!F70),"Y")</f>
        <v>6</v>
      </c>
      <c r="F70" s="17" t="str">
        <f>_xlfn.IFS('Raw Data'!D70&lt;30,"Under 30",'Raw Data'!D70&lt;=40,"30-40",'Raw Data'!D70&lt;=50,"41-50",TRUE(),"51+")</f>
        <v>Under 30</v>
      </c>
      <c r="G70" s="38">
        <f>'Raw Data'!G70*12</f>
        <v>424800</v>
      </c>
      <c r="H70" s="17" t="str">
        <f t="shared" si="3"/>
        <v>Mid</v>
      </c>
      <c r="I70" s="17">
        <f t="shared" si="4"/>
        <v>246</v>
      </c>
      <c r="J70" s="17" t="str">
        <f t="shared" si="5"/>
        <v>HR-EMP0069</v>
      </c>
      <c r="K70" s="39">
        <f ca="1">EOMONTH('Raw Data'!E70,12*(YEAR(TODAY())-YEAR('Raw Data'!E70))+3)</f>
        <v>46477</v>
      </c>
      <c r="L70" s="17" t="str">
        <f ca="1">IF(AND('Raw Data'!H70&gt;=4,D70="Active",E70&lt;2),"Watch","")</f>
        <v/>
      </c>
      <c r="M70" s="69" t="str">
        <f>IFERROR(VLOOKUP($A70,'Raw Data'!$A$2:$C$50,3,FALSE()),"Not in first 49 rows")</f>
        <v>Not in first 49 rows</v>
      </c>
    </row>
    <row r="71" spans="1:13" x14ac:dyDescent="0.3">
      <c r="A71" s="68" t="str">
        <f>'Raw Data'!A71</f>
        <v>EMP0070</v>
      </c>
      <c r="B71" s="17" t="str">
        <f>INDEX('Raw Data'!$B$2:$B$301, MATCH(A71,'Raw Data'!$A$2:$A$301,0))</f>
        <v>Suresh Pillai</v>
      </c>
      <c r="C71" s="17" t="str">
        <f>VLOOKUP($A71,'Raw Data'!$A$2:$C$301,3,FALSE)</f>
        <v>Operations</v>
      </c>
      <c r="D71" s="17" t="str">
        <f>IF(ISBLANK('Raw Data'!F71),"Active","Resigned")</f>
        <v>Active</v>
      </c>
      <c r="E71" s="17">
        <f ca="1">DATEDIF('Raw Data'!E71,IF(ISBLANK('Raw Data'!F71),TODAY(),'Raw Data'!F71),"Y")</f>
        <v>1</v>
      </c>
      <c r="F71" s="17" t="str">
        <f>_xlfn.IFS('Raw Data'!D71&lt;30,"Under 30",'Raw Data'!D71&lt;=40,"30-40",'Raw Data'!D71&lt;=50,"41-50",TRUE(),"51+")</f>
        <v>51+</v>
      </c>
      <c r="G71" s="38">
        <f>'Raw Data'!G71*12</f>
        <v>411600</v>
      </c>
      <c r="H71" s="17" t="str">
        <f t="shared" si="3"/>
        <v>Low</v>
      </c>
      <c r="I71" s="17">
        <f t="shared" si="4"/>
        <v>259</v>
      </c>
      <c r="J71" s="17" t="str">
        <f t="shared" si="5"/>
        <v>Ope-EMP0070</v>
      </c>
      <c r="K71" s="39">
        <f ca="1">EOMONTH('Raw Data'!E71,12*(YEAR(TODAY())-YEAR('Raw Data'!E71))+3)</f>
        <v>46477</v>
      </c>
      <c r="L71" s="17" t="str">
        <f ca="1">IF(AND('Raw Data'!H71&gt;=4,D71="Active",E71&lt;2),"Watch","")</f>
        <v/>
      </c>
      <c r="M71" s="69" t="str">
        <f>IFERROR(VLOOKUP($A71,'Raw Data'!$A$2:$C$50,3,FALSE()),"Not in first 49 rows")</f>
        <v>Not in first 49 rows</v>
      </c>
    </row>
    <row r="72" spans="1:13" x14ac:dyDescent="0.3">
      <c r="A72" s="68" t="str">
        <f>'Raw Data'!A72</f>
        <v>EMP0071</v>
      </c>
      <c r="B72" s="17" t="str">
        <f>INDEX('Raw Data'!$B$2:$B$301, MATCH(A72,'Raw Data'!$A$2:$A$301,0))</f>
        <v>Anil Chopra</v>
      </c>
      <c r="C72" s="17" t="str">
        <f>VLOOKUP($A72,'Raw Data'!$A$2:$C$301,3,FALSE)</f>
        <v>Sales</v>
      </c>
      <c r="D72" s="17" t="str">
        <f>IF(ISBLANK('Raw Data'!F72),"Active","Resigned")</f>
        <v>Active</v>
      </c>
      <c r="E72" s="17">
        <f ca="1">DATEDIF('Raw Data'!E72,IF(ISBLANK('Raw Data'!F72),TODAY(),'Raw Data'!F72),"Y")</f>
        <v>6</v>
      </c>
      <c r="F72" s="17" t="str">
        <f>_xlfn.IFS('Raw Data'!D72&lt;30,"Under 30",'Raw Data'!D72&lt;=40,"30-40",'Raw Data'!D72&lt;=50,"41-50",TRUE(),"51+")</f>
        <v>41-50</v>
      </c>
      <c r="G72" s="38">
        <f>'Raw Data'!G72*12</f>
        <v>566400</v>
      </c>
      <c r="H72" s="17" t="str">
        <f t="shared" si="3"/>
        <v>High</v>
      </c>
      <c r="I72" s="17">
        <f t="shared" si="4"/>
        <v>121</v>
      </c>
      <c r="J72" s="17" t="str">
        <f t="shared" si="5"/>
        <v>Sal-EMP0071</v>
      </c>
      <c r="K72" s="39">
        <f ca="1">EOMONTH('Raw Data'!E72,12*(YEAR(TODAY())-YEAR('Raw Data'!E72))+3)</f>
        <v>46418</v>
      </c>
      <c r="L72" s="17" t="str">
        <f ca="1">IF(AND('Raw Data'!H72&gt;=4,D72="Active",E72&lt;2),"Watch","")</f>
        <v/>
      </c>
      <c r="M72" s="69" t="str">
        <f>IFERROR(VLOOKUP($A72,'Raw Data'!$A$2:$C$50,3,FALSE()),"Not in first 49 rows")</f>
        <v>Not in first 49 rows</v>
      </c>
    </row>
    <row r="73" spans="1:13" x14ac:dyDescent="0.3">
      <c r="A73" s="68" t="str">
        <f>'Raw Data'!A73</f>
        <v>EMP0072</v>
      </c>
      <c r="B73" s="17" t="str">
        <f>INDEX('Raw Data'!$B$2:$B$301, MATCH(A73,'Raw Data'!$A$2:$A$301,0))</f>
        <v>Rajesh Singh</v>
      </c>
      <c r="C73" s="17" t="str">
        <f>VLOOKUP($A73,'Raw Data'!$A$2:$C$301,3,FALSE)</f>
        <v>IT</v>
      </c>
      <c r="D73" s="17" t="str">
        <f>IF(ISBLANK('Raw Data'!F73),"Active","Resigned")</f>
        <v>Active</v>
      </c>
      <c r="E73" s="17">
        <f ca="1">DATEDIF('Raw Data'!E73,IF(ISBLANK('Raw Data'!F73),TODAY(),'Raw Data'!F73),"Y")</f>
        <v>10</v>
      </c>
      <c r="F73" s="17" t="str">
        <f>_xlfn.IFS('Raw Data'!D73&lt;30,"Under 30",'Raw Data'!D73&lt;=40,"30-40",'Raw Data'!D73&lt;=50,"41-50",TRUE(),"51+")</f>
        <v>51+</v>
      </c>
      <c r="G73" s="38">
        <f>'Raw Data'!G73*12</f>
        <v>698400</v>
      </c>
      <c r="H73" s="17" t="str">
        <f t="shared" si="3"/>
        <v>Premium</v>
      </c>
      <c r="I73" s="17">
        <f t="shared" si="4"/>
        <v>28</v>
      </c>
      <c r="J73" s="17" t="str">
        <f t="shared" si="5"/>
        <v>IT-EMP0072</v>
      </c>
      <c r="K73" s="39">
        <f ca="1">EOMONTH('Raw Data'!E73,12*(YEAR(TODAY())-YEAR('Raw Data'!E73))+3)</f>
        <v>46234</v>
      </c>
      <c r="L73" s="17" t="str">
        <f ca="1">IF(AND('Raw Data'!H73&gt;=4,D73="Active",E73&lt;2),"Watch","")</f>
        <v/>
      </c>
      <c r="M73" s="69" t="str">
        <f>IFERROR(VLOOKUP($A73,'Raw Data'!$A$2:$C$50,3,FALSE()),"Not in first 49 rows")</f>
        <v>Not in first 49 rows</v>
      </c>
    </row>
    <row r="74" spans="1:13" x14ac:dyDescent="0.3">
      <c r="A74" s="68" t="str">
        <f>'Raw Data'!A74</f>
        <v>EMP0073</v>
      </c>
      <c r="B74" s="17" t="str">
        <f>INDEX('Raw Data'!$B$2:$B$301, MATCH(A74,'Raw Data'!$A$2:$A$301,0))</f>
        <v>Reyansh Kapoor</v>
      </c>
      <c r="C74" s="17" t="str">
        <f>VLOOKUP($A74,'Raw Data'!$A$2:$C$301,3,FALSE)</f>
        <v>Marketing</v>
      </c>
      <c r="D74" s="17" t="str">
        <f>IF(ISBLANK('Raw Data'!F74),"Active","Resigned")</f>
        <v>Resigned</v>
      </c>
      <c r="E74" s="17">
        <f ca="1">DATEDIF('Raw Data'!E74,IF(ISBLANK('Raw Data'!F74),TODAY(),'Raw Data'!F74),"Y")</f>
        <v>4</v>
      </c>
      <c r="F74" s="17" t="str">
        <f>_xlfn.IFS('Raw Data'!D74&lt;30,"Under 30",'Raw Data'!D74&lt;=40,"30-40",'Raw Data'!D74&lt;=50,"41-50",TRUE(),"51+")</f>
        <v>51+</v>
      </c>
      <c r="G74" s="38">
        <f>'Raw Data'!G74*12</f>
        <v>454800</v>
      </c>
      <c r="H74" s="17" t="str">
        <f t="shared" si="3"/>
        <v>Mid</v>
      </c>
      <c r="I74" s="17">
        <f t="shared" si="4"/>
        <v>224</v>
      </c>
      <c r="J74" s="17" t="str">
        <f t="shared" si="5"/>
        <v>Mar-EMP0073</v>
      </c>
      <c r="K74" s="39">
        <f ca="1">EOMONTH('Raw Data'!E74,12*(YEAR(TODAY())-YEAR('Raw Data'!E74))+3)</f>
        <v>46142</v>
      </c>
      <c r="L74" s="17" t="str">
        <f ca="1">IF(AND('Raw Data'!H74&gt;=4,D74="Active",E74&lt;2),"Watch","")</f>
        <v/>
      </c>
      <c r="M74" s="69" t="str">
        <f>IFERROR(VLOOKUP($A74,'Raw Data'!$A$2:$C$50,3,FALSE()),"Not in first 49 rows")</f>
        <v>Not in first 49 rows</v>
      </c>
    </row>
    <row r="75" spans="1:13" x14ac:dyDescent="0.3">
      <c r="A75" s="68" t="str">
        <f>'Raw Data'!A75</f>
        <v>EMP0074</v>
      </c>
      <c r="B75" s="17" t="str">
        <f>INDEX('Raw Data'!$B$2:$B$301, MATCH(A75,'Raw Data'!$A$2:$A$301,0))</f>
        <v>Amit Desai</v>
      </c>
      <c r="C75" s="17" t="str">
        <f>VLOOKUP($A75,'Raw Data'!$A$2:$C$301,3,FALSE)</f>
        <v>Finance</v>
      </c>
      <c r="D75" s="17" t="str">
        <f>IF(ISBLANK('Raw Data'!F75),"Active","Resigned")</f>
        <v>Active</v>
      </c>
      <c r="E75" s="17">
        <f ca="1">DATEDIF('Raw Data'!E75,IF(ISBLANK('Raw Data'!F75),TODAY(),'Raw Data'!F75),"Y")</f>
        <v>7</v>
      </c>
      <c r="F75" s="17" t="str">
        <f>_xlfn.IFS('Raw Data'!D75&lt;30,"Under 30",'Raw Data'!D75&lt;=40,"30-40",'Raw Data'!D75&lt;=50,"41-50",TRUE(),"51+")</f>
        <v>41-50</v>
      </c>
      <c r="G75" s="38">
        <f>'Raw Data'!G75*12</f>
        <v>627600</v>
      </c>
      <c r="H75" s="17" t="str">
        <f t="shared" si="3"/>
        <v>High</v>
      </c>
      <c r="I75" s="17">
        <f t="shared" si="4"/>
        <v>64</v>
      </c>
      <c r="J75" s="17" t="str">
        <f t="shared" si="5"/>
        <v>Fin-EMP0074</v>
      </c>
      <c r="K75" s="39">
        <f ca="1">EOMONTH('Raw Data'!E75,12*(YEAR(TODAY())-YEAR('Raw Data'!E75))+3)</f>
        <v>46418</v>
      </c>
      <c r="L75" s="17" t="str">
        <f ca="1">IF(AND('Raw Data'!H75&gt;=4,D75="Active",E75&lt;2),"Watch","")</f>
        <v/>
      </c>
      <c r="M75" s="69" t="str">
        <f>IFERROR(VLOOKUP($A75,'Raw Data'!$A$2:$C$50,3,FALSE()),"Not in first 49 rows")</f>
        <v>Not in first 49 rows</v>
      </c>
    </row>
    <row r="76" spans="1:13" x14ac:dyDescent="0.3">
      <c r="A76" s="68" t="str">
        <f>'Raw Data'!A76</f>
        <v>EMP0075</v>
      </c>
      <c r="B76" s="17" t="str">
        <f>INDEX('Raw Data'!$B$2:$B$301, MATCH(A76,'Raw Data'!$A$2:$A$301,0))</f>
        <v>Vihaan Joshi</v>
      </c>
      <c r="C76" s="17" t="str">
        <f>VLOOKUP($A76,'Raw Data'!$A$2:$C$301,3,FALSE)</f>
        <v>Marketing</v>
      </c>
      <c r="D76" s="17" t="str">
        <f>IF(ISBLANK('Raw Data'!F76),"Active","Resigned")</f>
        <v>Active</v>
      </c>
      <c r="E76" s="17">
        <f ca="1">DATEDIF('Raw Data'!E76,IF(ISBLANK('Raw Data'!F76),TODAY(),'Raw Data'!F76),"Y")</f>
        <v>1</v>
      </c>
      <c r="F76" s="17" t="str">
        <f>_xlfn.IFS('Raw Data'!D76&lt;30,"Under 30",'Raw Data'!D76&lt;=40,"30-40",'Raw Data'!D76&lt;=50,"41-50",TRUE(),"51+")</f>
        <v>Under 30</v>
      </c>
      <c r="G76" s="38">
        <f>'Raw Data'!G76*12</f>
        <v>372000</v>
      </c>
      <c r="H76" s="17" t="str">
        <f t="shared" si="3"/>
        <v>Low</v>
      </c>
      <c r="I76" s="17">
        <f t="shared" si="4"/>
        <v>281</v>
      </c>
      <c r="J76" s="17" t="str">
        <f t="shared" si="5"/>
        <v>Mar-EMP0075</v>
      </c>
      <c r="K76" s="39">
        <f ca="1">EOMONTH('Raw Data'!E76,12*(YEAR(TODAY())-YEAR('Raw Data'!E76))+3)</f>
        <v>46418</v>
      </c>
      <c r="L76" s="17" t="str">
        <f ca="1">IF(AND('Raw Data'!H76&gt;=4,D76="Active",E76&lt;2),"Watch","")</f>
        <v/>
      </c>
      <c r="M76" s="69" t="str">
        <f>IFERROR(VLOOKUP($A76,'Raw Data'!$A$2:$C$50,3,FALSE()),"Not in first 49 rows")</f>
        <v>Not in first 49 rows</v>
      </c>
    </row>
    <row r="77" spans="1:13" x14ac:dyDescent="0.3">
      <c r="A77" s="68" t="str">
        <f>'Raw Data'!A77</f>
        <v>EMP0076</v>
      </c>
      <c r="B77" s="17" t="str">
        <f>INDEX('Raw Data'!$B$2:$B$301, MATCH(A77,'Raw Data'!$A$2:$A$301,0))</f>
        <v>Sara Reddy</v>
      </c>
      <c r="C77" s="17" t="str">
        <f>VLOOKUP($A77,'Raw Data'!$A$2:$C$301,3,FALSE)</f>
        <v>Sales</v>
      </c>
      <c r="D77" s="17" t="str">
        <f>IF(ISBLANK('Raw Data'!F77),"Active","Resigned")</f>
        <v>Resigned</v>
      </c>
      <c r="E77" s="17">
        <f ca="1">DATEDIF('Raw Data'!E77,IF(ISBLANK('Raw Data'!F77),TODAY(),'Raw Data'!F77),"Y")</f>
        <v>7</v>
      </c>
      <c r="F77" s="17" t="str">
        <f>_xlfn.IFS('Raw Data'!D77&lt;30,"Under 30",'Raw Data'!D77&lt;=40,"30-40",'Raw Data'!D77&lt;=50,"41-50",TRUE(),"51+")</f>
        <v>30-40</v>
      </c>
      <c r="G77" s="38">
        <f>'Raw Data'!G77*12</f>
        <v>368400</v>
      </c>
      <c r="H77" s="17" t="str">
        <f t="shared" si="3"/>
        <v>Low</v>
      </c>
      <c r="I77" s="17">
        <f t="shared" si="4"/>
        <v>284</v>
      </c>
      <c r="J77" s="17" t="str">
        <f t="shared" si="5"/>
        <v>Sal-EMP0076</v>
      </c>
      <c r="K77" s="39">
        <f ca="1">EOMONTH('Raw Data'!E77,12*(YEAR(TODAY())-YEAR('Raw Data'!E77))+3)</f>
        <v>46387</v>
      </c>
      <c r="L77" s="17" t="str">
        <f ca="1">IF(AND('Raw Data'!H77&gt;=4,D77="Active",E77&lt;2),"Watch","")</f>
        <v/>
      </c>
      <c r="M77" s="69" t="str">
        <f>IFERROR(VLOOKUP($A77,'Raw Data'!$A$2:$C$50,3,FALSE()),"Not in first 49 rows")</f>
        <v>Not in first 49 rows</v>
      </c>
    </row>
    <row r="78" spans="1:13" x14ac:dyDescent="0.3">
      <c r="A78" s="68" t="str">
        <f>'Raw Data'!A78</f>
        <v>EMP0077</v>
      </c>
      <c r="B78" s="17" t="str">
        <f>INDEX('Raw Data'!$B$2:$B$301, MATCH(A78,'Raw Data'!$A$2:$A$301,0))</f>
        <v>Rajesh Iyer</v>
      </c>
      <c r="C78" s="17" t="str">
        <f>VLOOKUP($A78,'Raw Data'!$A$2:$C$301,3,FALSE)</f>
        <v>Finance</v>
      </c>
      <c r="D78" s="17" t="str">
        <f>IF(ISBLANK('Raw Data'!F78),"Active","Resigned")</f>
        <v>Active</v>
      </c>
      <c r="E78" s="17">
        <f ca="1">DATEDIF('Raw Data'!E78,IF(ISBLANK('Raw Data'!F78),TODAY(),'Raw Data'!F78),"Y")</f>
        <v>3</v>
      </c>
      <c r="F78" s="17" t="str">
        <f>_xlfn.IFS('Raw Data'!D78&lt;30,"Under 30",'Raw Data'!D78&lt;=40,"30-40",'Raw Data'!D78&lt;=50,"41-50",TRUE(),"51+")</f>
        <v>30-40</v>
      </c>
      <c r="G78" s="38">
        <f>'Raw Data'!G78*12</f>
        <v>708000</v>
      </c>
      <c r="H78" s="17" t="str">
        <f t="shared" si="3"/>
        <v>Premium</v>
      </c>
      <c r="I78" s="17">
        <f t="shared" si="4"/>
        <v>26</v>
      </c>
      <c r="J78" s="17" t="str">
        <f t="shared" si="5"/>
        <v>Fin-EMP0077</v>
      </c>
      <c r="K78" s="39">
        <f ca="1">EOMONTH('Raw Data'!E78,12*(YEAR(TODAY())-YEAR('Raw Data'!E78))+3)</f>
        <v>46418</v>
      </c>
      <c r="L78" s="17" t="str">
        <f ca="1">IF(AND('Raw Data'!H78&gt;=4,D78="Active",E78&lt;2),"Watch","")</f>
        <v/>
      </c>
      <c r="M78" s="69" t="str">
        <f>IFERROR(VLOOKUP($A78,'Raw Data'!$A$2:$C$50,3,FALSE()),"Not in first 49 rows")</f>
        <v>Not in first 49 rows</v>
      </c>
    </row>
    <row r="79" spans="1:13" x14ac:dyDescent="0.3">
      <c r="A79" s="68" t="str">
        <f>'Raw Data'!A79</f>
        <v>EMP0078</v>
      </c>
      <c r="B79" s="17" t="str">
        <f>INDEX('Raw Data'!$B$2:$B$301, MATCH(A79,'Raw Data'!$A$2:$A$301,0))</f>
        <v>Ananya Rao</v>
      </c>
      <c r="C79" s="17" t="str">
        <f>VLOOKUP($A79,'Raw Data'!$A$2:$C$301,3,FALSE)</f>
        <v>Sales</v>
      </c>
      <c r="D79" s="17" t="str">
        <f>IF(ISBLANK('Raw Data'!F79),"Active","Resigned")</f>
        <v>Active</v>
      </c>
      <c r="E79" s="17">
        <f ca="1">DATEDIF('Raw Data'!E79,IF(ISBLANK('Raw Data'!F79),TODAY(),'Raw Data'!F79),"Y")</f>
        <v>7</v>
      </c>
      <c r="F79" s="17" t="str">
        <f>_xlfn.IFS('Raw Data'!D79&lt;30,"Under 30",'Raw Data'!D79&lt;=40,"30-40",'Raw Data'!D79&lt;=50,"41-50",TRUE(),"51+")</f>
        <v>Under 30</v>
      </c>
      <c r="G79" s="38">
        <f>'Raw Data'!G79*12</f>
        <v>597600</v>
      </c>
      <c r="H79" s="17" t="str">
        <f t="shared" si="3"/>
        <v>High</v>
      </c>
      <c r="I79" s="17">
        <f t="shared" si="4"/>
        <v>94</v>
      </c>
      <c r="J79" s="17" t="str">
        <f t="shared" si="5"/>
        <v>Sal-EMP0078</v>
      </c>
      <c r="K79" s="39">
        <f ca="1">EOMONTH('Raw Data'!E79,12*(YEAR(TODAY())-YEAR('Raw Data'!E79))+3)</f>
        <v>46326</v>
      </c>
      <c r="L79" s="17" t="str">
        <f ca="1">IF(AND('Raw Data'!H79&gt;=4,D79="Active",E79&lt;2),"Watch","")</f>
        <v/>
      </c>
      <c r="M79" s="69" t="str">
        <f>IFERROR(VLOOKUP($A79,'Raw Data'!$A$2:$C$50,3,FALSE()),"Not in first 49 rows")</f>
        <v>Not in first 49 rows</v>
      </c>
    </row>
    <row r="80" spans="1:13" x14ac:dyDescent="0.3">
      <c r="A80" s="68" t="str">
        <f>'Raw Data'!A80</f>
        <v>EMP0079</v>
      </c>
      <c r="B80" s="17" t="str">
        <f>INDEX('Raw Data'!$B$2:$B$301, MATCH(A80,'Raw Data'!$A$2:$A$301,0))</f>
        <v>Aadhya Gupta</v>
      </c>
      <c r="C80" s="17" t="str">
        <f>VLOOKUP($A80,'Raw Data'!$A$2:$C$301,3,FALSE)</f>
        <v>IT</v>
      </c>
      <c r="D80" s="17" t="str">
        <f>IF(ISBLANK('Raw Data'!F80),"Active","Resigned")</f>
        <v>Active</v>
      </c>
      <c r="E80" s="17">
        <f ca="1">DATEDIF('Raw Data'!E80,IF(ISBLANK('Raw Data'!F80),TODAY(),'Raw Data'!F80),"Y")</f>
        <v>9</v>
      </c>
      <c r="F80" s="17" t="str">
        <f>_xlfn.IFS('Raw Data'!D80&lt;30,"Under 30",'Raw Data'!D80&lt;=40,"30-40",'Raw Data'!D80&lt;=50,"41-50",TRUE(),"51+")</f>
        <v>30-40</v>
      </c>
      <c r="G80" s="38">
        <f>'Raw Data'!G80*12</f>
        <v>614400</v>
      </c>
      <c r="H80" s="17" t="str">
        <f t="shared" si="3"/>
        <v>High</v>
      </c>
      <c r="I80" s="17">
        <f t="shared" si="4"/>
        <v>76</v>
      </c>
      <c r="J80" s="17" t="str">
        <f t="shared" si="5"/>
        <v>IT-EMP0079</v>
      </c>
      <c r="K80" s="39">
        <f ca="1">EOMONTH('Raw Data'!E80,12*(YEAR(TODAY())-YEAR('Raw Data'!E80))+3)</f>
        <v>46173</v>
      </c>
      <c r="L80" s="17" t="str">
        <f ca="1">IF(AND('Raw Data'!H80&gt;=4,D80="Active",E80&lt;2),"Watch","")</f>
        <v/>
      </c>
      <c r="M80" s="69" t="str">
        <f>IFERROR(VLOOKUP($A80,'Raw Data'!$A$2:$C$50,3,FALSE()),"Not in first 49 rows")</f>
        <v>Not in first 49 rows</v>
      </c>
    </row>
    <row r="81" spans="1:13" x14ac:dyDescent="0.3">
      <c r="A81" s="68" t="str">
        <f>'Raw Data'!A81</f>
        <v>EMP0080</v>
      </c>
      <c r="B81" s="17" t="str">
        <f>INDEX('Raw Data'!$B$2:$B$301, MATCH(A81,'Raw Data'!$A$2:$A$301,0))</f>
        <v>Kabir Menon</v>
      </c>
      <c r="C81" s="17" t="str">
        <f>VLOOKUP($A81,'Raw Data'!$A$2:$C$301,3,FALSE)</f>
        <v>Sales</v>
      </c>
      <c r="D81" s="17" t="str">
        <f>IF(ISBLANK('Raw Data'!F81),"Active","Resigned")</f>
        <v>Active</v>
      </c>
      <c r="E81" s="17">
        <f ca="1">DATEDIF('Raw Data'!E81,IF(ISBLANK('Raw Data'!F81),TODAY(),'Raw Data'!F81),"Y")</f>
        <v>4</v>
      </c>
      <c r="F81" s="17" t="str">
        <f>_xlfn.IFS('Raw Data'!D81&lt;30,"Under 30",'Raw Data'!D81&lt;=40,"30-40",'Raw Data'!D81&lt;=50,"41-50",TRUE(),"51+")</f>
        <v>41-50</v>
      </c>
      <c r="G81" s="38">
        <f>'Raw Data'!G81*12</f>
        <v>442800</v>
      </c>
      <c r="H81" s="17" t="str">
        <f t="shared" si="3"/>
        <v>Mid</v>
      </c>
      <c r="I81" s="17">
        <f t="shared" si="4"/>
        <v>233</v>
      </c>
      <c r="J81" s="17" t="str">
        <f t="shared" si="5"/>
        <v>Sal-EMP0080</v>
      </c>
      <c r="K81" s="39">
        <f ca="1">EOMONTH('Raw Data'!E81,12*(YEAR(TODAY())-YEAR('Raw Data'!E81))+3)</f>
        <v>46477</v>
      </c>
      <c r="L81" s="17" t="str">
        <f ca="1">IF(AND('Raw Data'!H81&gt;=4,D81="Active",E81&lt;2),"Watch","")</f>
        <v/>
      </c>
      <c r="M81" s="69" t="str">
        <f>IFERROR(VLOOKUP($A81,'Raw Data'!$A$2:$C$50,3,FALSE()),"Not in first 49 rows")</f>
        <v>Not in first 49 rows</v>
      </c>
    </row>
    <row r="82" spans="1:13" x14ac:dyDescent="0.3">
      <c r="A82" s="68" t="str">
        <f>'Raw Data'!A82</f>
        <v>EMP0081</v>
      </c>
      <c r="B82" s="17" t="str">
        <f>INDEX('Raw Data'!$B$2:$B$301, MATCH(A82,'Raw Data'!$A$2:$A$301,0))</f>
        <v>Amit Sharma</v>
      </c>
      <c r="C82" s="17" t="str">
        <f>VLOOKUP($A82,'Raw Data'!$A$2:$C$301,3,FALSE)</f>
        <v>HR</v>
      </c>
      <c r="D82" s="17" t="str">
        <f>IF(ISBLANK('Raw Data'!F82),"Active","Resigned")</f>
        <v>Active</v>
      </c>
      <c r="E82" s="17">
        <f ca="1">DATEDIF('Raw Data'!E82,IF(ISBLANK('Raw Data'!F82),TODAY(),'Raw Data'!F82),"Y")</f>
        <v>9</v>
      </c>
      <c r="F82" s="17" t="str">
        <f>_xlfn.IFS('Raw Data'!D82&lt;30,"Under 30",'Raw Data'!D82&lt;=40,"30-40",'Raw Data'!D82&lt;=50,"41-50",TRUE(),"51+")</f>
        <v>51+</v>
      </c>
      <c r="G82" s="38">
        <f>'Raw Data'!G82*12</f>
        <v>416400</v>
      </c>
      <c r="H82" s="17" t="str">
        <f t="shared" si="3"/>
        <v>Low</v>
      </c>
      <c r="I82" s="17">
        <f t="shared" si="4"/>
        <v>256</v>
      </c>
      <c r="J82" s="17" t="str">
        <f t="shared" si="5"/>
        <v>HR-EMP0081</v>
      </c>
      <c r="K82" s="39">
        <f ca="1">EOMONTH('Raw Data'!E82,12*(YEAR(TODAY())-YEAR('Raw Data'!E82))+3)</f>
        <v>46203</v>
      </c>
      <c r="L82" s="17" t="str">
        <f ca="1">IF(AND('Raw Data'!H82&gt;=4,D82="Active",E82&lt;2),"Watch","")</f>
        <v/>
      </c>
      <c r="M82" s="69" t="str">
        <f>IFERROR(VLOOKUP($A82,'Raw Data'!$A$2:$C$50,3,FALSE()),"Not in first 49 rows")</f>
        <v>Not in first 49 rows</v>
      </c>
    </row>
    <row r="83" spans="1:13" x14ac:dyDescent="0.3">
      <c r="A83" s="68" t="str">
        <f>'Raw Data'!A83</f>
        <v>EMP0082</v>
      </c>
      <c r="B83" s="17" t="str">
        <f>INDEX('Raw Data'!$B$2:$B$301, MATCH(A83,'Raw Data'!$A$2:$A$301,0))</f>
        <v>Rajesh Singh</v>
      </c>
      <c r="C83" s="17" t="str">
        <f>VLOOKUP($A83,'Raw Data'!$A$2:$C$301,3,FALSE)</f>
        <v>HR</v>
      </c>
      <c r="D83" s="17" t="str">
        <f>IF(ISBLANK('Raw Data'!F83),"Active","Resigned")</f>
        <v>Active</v>
      </c>
      <c r="E83" s="17">
        <f ca="1">DATEDIF('Raw Data'!E83,IF(ISBLANK('Raw Data'!F83),TODAY(),'Raw Data'!F83),"Y")</f>
        <v>2</v>
      </c>
      <c r="F83" s="17" t="str">
        <f>_xlfn.IFS('Raw Data'!D83&lt;30,"Under 30",'Raw Data'!D83&lt;=40,"30-40",'Raw Data'!D83&lt;=50,"41-50",TRUE(),"51+")</f>
        <v>30-40</v>
      </c>
      <c r="G83" s="38">
        <f>'Raw Data'!G83*12</f>
        <v>499200</v>
      </c>
      <c r="H83" s="17" t="str">
        <f t="shared" si="3"/>
        <v>Mid</v>
      </c>
      <c r="I83" s="17">
        <f t="shared" si="4"/>
        <v>189</v>
      </c>
      <c r="J83" s="17" t="str">
        <f t="shared" si="5"/>
        <v>HR-EMP0082</v>
      </c>
      <c r="K83" s="39">
        <f ca="1">EOMONTH('Raw Data'!E83,12*(YEAR(TODAY())-YEAR('Raw Data'!E83))+3)</f>
        <v>46203</v>
      </c>
      <c r="L83" s="17" t="str">
        <f ca="1">IF(AND('Raw Data'!H83&gt;=4,D83="Active",E83&lt;2),"Watch","")</f>
        <v/>
      </c>
      <c r="M83" s="69" t="str">
        <f>IFERROR(VLOOKUP($A83,'Raw Data'!$A$2:$C$50,3,FALSE()),"Not in first 49 rows")</f>
        <v>Not in first 49 rows</v>
      </c>
    </row>
    <row r="84" spans="1:13" x14ac:dyDescent="0.3">
      <c r="A84" s="68" t="str">
        <f>'Raw Data'!A84</f>
        <v>EMP0083</v>
      </c>
      <c r="B84" s="17" t="str">
        <f>INDEX('Raw Data'!$B$2:$B$301, MATCH(A84,'Raw Data'!$A$2:$A$301,0))</f>
        <v>Sunita Chopra</v>
      </c>
      <c r="C84" s="17" t="str">
        <f>VLOOKUP($A84,'Raw Data'!$A$2:$C$301,3,FALSE)</f>
        <v>HR</v>
      </c>
      <c r="D84" s="17" t="str">
        <f>IF(ISBLANK('Raw Data'!F84),"Active","Resigned")</f>
        <v>Active</v>
      </c>
      <c r="E84" s="17">
        <f ca="1">DATEDIF('Raw Data'!E84,IF(ISBLANK('Raw Data'!F84),TODAY(),'Raw Data'!F84),"Y")</f>
        <v>1</v>
      </c>
      <c r="F84" s="17" t="str">
        <f>_xlfn.IFS('Raw Data'!D84&lt;30,"Under 30",'Raw Data'!D84&lt;=40,"30-40",'Raw Data'!D84&lt;=50,"41-50",TRUE(),"51+")</f>
        <v>41-50</v>
      </c>
      <c r="G84" s="38">
        <f>'Raw Data'!G84*12</f>
        <v>388800</v>
      </c>
      <c r="H84" s="17" t="str">
        <f t="shared" si="3"/>
        <v>Low</v>
      </c>
      <c r="I84" s="17">
        <f t="shared" si="4"/>
        <v>272</v>
      </c>
      <c r="J84" s="17" t="str">
        <f t="shared" si="5"/>
        <v>HR-EMP0083</v>
      </c>
      <c r="K84" s="39">
        <f ca="1">EOMONTH('Raw Data'!E84,12*(YEAR(TODAY())-YEAR('Raw Data'!E84))+3)</f>
        <v>46234</v>
      </c>
      <c r="L84" s="17" t="str">
        <f ca="1">IF(AND('Raw Data'!H84&gt;=4,D84="Active",E84&lt;2),"Watch","")</f>
        <v>Watch</v>
      </c>
      <c r="M84" s="69" t="str">
        <f>IFERROR(VLOOKUP($A84,'Raw Data'!$A$2:$C$50,3,FALSE()),"Not in first 49 rows")</f>
        <v>Not in first 49 rows</v>
      </c>
    </row>
    <row r="85" spans="1:13" x14ac:dyDescent="0.3">
      <c r="A85" s="68" t="str">
        <f>'Raw Data'!A85</f>
        <v>EMP0084</v>
      </c>
      <c r="B85" s="17" t="str">
        <f>INDEX('Raw Data'!$B$2:$B$301, MATCH(A85,'Raw Data'!$A$2:$A$301,0))</f>
        <v>Reyansh Iyer</v>
      </c>
      <c r="C85" s="17" t="str">
        <f>VLOOKUP($A85,'Raw Data'!$A$2:$C$301,3,FALSE)</f>
        <v>HR</v>
      </c>
      <c r="D85" s="17" t="str">
        <f>IF(ISBLANK('Raw Data'!F85),"Active","Resigned")</f>
        <v>Active</v>
      </c>
      <c r="E85" s="17">
        <f ca="1">DATEDIF('Raw Data'!E85,IF(ISBLANK('Raw Data'!F85),TODAY(),'Raw Data'!F85),"Y")</f>
        <v>2</v>
      </c>
      <c r="F85" s="17" t="str">
        <f>_xlfn.IFS('Raw Data'!D85&lt;30,"Under 30",'Raw Data'!D85&lt;=40,"30-40",'Raw Data'!D85&lt;=50,"41-50",TRUE(),"51+")</f>
        <v>30-40</v>
      </c>
      <c r="G85" s="38">
        <f>'Raw Data'!G85*12</f>
        <v>487200</v>
      </c>
      <c r="H85" s="17" t="str">
        <f t="shared" si="3"/>
        <v>Mid</v>
      </c>
      <c r="I85" s="17">
        <f t="shared" si="4"/>
        <v>202</v>
      </c>
      <c r="J85" s="17" t="str">
        <f t="shared" si="5"/>
        <v>HR-EMP0084</v>
      </c>
      <c r="K85" s="39">
        <f ca="1">EOMONTH('Raw Data'!E85,12*(YEAR(TODAY())-YEAR('Raw Data'!E85))+3)</f>
        <v>46265</v>
      </c>
      <c r="L85" s="17" t="str">
        <f ca="1">IF(AND('Raw Data'!H85&gt;=4,D85="Active",E85&lt;2),"Watch","")</f>
        <v/>
      </c>
      <c r="M85" s="69" t="str">
        <f>IFERROR(VLOOKUP($A85,'Raw Data'!$A$2:$C$50,3,FALSE()),"Not in first 49 rows")</f>
        <v>Not in first 49 rows</v>
      </c>
    </row>
    <row r="86" spans="1:13" x14ac:dyDescent="0.3">
      <c r="A86" s="68" t="str">
        <f>'Raw Data'!A86</f>
        <v>EMP0085</v>
      </c>
      <c r="B86" s="17" t="str">
        <f>INDEX('Raw Data'!$B$2:$B$301, MATCH(A86,'Raw Data'!$A$2:$A$301,0))</f>
        <v>Vivaan Chopra</v>
      </c>
      <c r="C86" s="17" t="str">
        <f>VLOOKUP($A86,'Raw Data'!$A$2:$C$301,3,FALSE)</f>
        <v>Finance</v>
      </c>
      <c r="D86" s="17" t="str">
        <f>IF(ISBLANK('Raw Data'!F86),"Active","Resigned")</f>
        <v>Resigned</v>
      </c>
      <c r="E86" s="17">
        <f ca="1">DATEDIF('Raw Data'!E86,IF(ISBLANK('Raw Data'!F86),TODAY(),'Raw Data'!F86),"Y")</f>
        <v>4</v>
      </c>
      <c r="F86" s="17" t="str">
        <f>_xlfn.IFS('Raw Data'!D86&lt;30,"Under 30",'Raw Data'!D86&lt;=40,"30-40",'Raw Data'!D86&lt;=50,"41-50",TRUE(),"51+")</f>
        <v>30-40</v>
      </c>
      <c r="G86" s="38">
        <f>'Raw Data'!G86*12</f>
        <v>566400</v>
      </c>
      <c r="H86" s="17" t="str">
        <f t="shared" si="3"/>
        <v>High</v>
      </c>
      <c r="I86" s="17">
        <f t="shared" si="4"/>
        <v>121</v>
      </c>
      <c r="J86" s="17" t="str">
        <f t="shared" si="5"/>
        <v>Fin-EMP0085</v>
      </c>
      <c r="K86" s="39">
        <f ca="1">EOMONTH('Raw Data'!E86,12*(YEAR(TODAY())-YEAR('Raw Data'!E86))+3)</f>
        <v>46295</v>
      </c>
      <c r="L86" s="17" t="str">
        <f ca="1">IF(AND('Raw Data'!H86&gt;=4,D86="Active",E86&lt;2),"Watch","")</f>
        <v/>
      </c>
      <c r="M86" s="69" t="str">
        <f>IFERROR(VLOOKUP($A86,'Raw Data'!$A$2:$C$50,3,FALSE()),"Not in first 49 rows")</f>
        <v>Not in first 49 rows</v>
      </c>
    </row>
    <row r="87" spans="1:13" x14ac:dyDescent="0.3">
      <c r="A87" s="68" t="str">
        <f>'Raw Data'!A87</f>
        <v>EMP0086</v>
      </c>
      <c r="B87" s="17" t="str">
        <f>INDEX('Raw Data'!$B$2:$B$301, MATCH(A87,'Raw Data'!$A$2:$A$301,0))</f>
        <v>Swati Iyer</v>
      </c>
      <c r="C87" s="17" t="str">
        <f>VLOOKUP($A87,'Raw Data'!$A$2:$C$301,3,FALSE)</f>
        <v>IT</v>
      </c>
      <c r="D87" s="17" t="str">
        <f>IF(ISBLANK('Raw Data'!F87),"Active","Resigned")</f>
        <v>Active</v>
      </c>
      <c r="E87" s="17">
        <f ca="1">DATEDIF('Raw Data'!E87,IF(ISBLANK('Raw Data'!F87),TODAY(),'Raw Data'!F87),"Y")</f>
        <v>4</v>
      </c>
      <c r="F87" s="17" t="str">
        <f>_xlfn.IFS('Raw Data'!D87&lt;30,"Under 30",'Raw Data'!D87&lt;=40,"30-40",'Raw Data'!D87&lt;=50,"41-50",TRUE(),"51+")</f>
        <v>Under 30</v>
      </c>
      <c r="G87" s="38">
        <f>'Raw Data'!G87*12</f>
        <v>553200</v>
      </c>
      <c r="H87" s="17" t="str">
        <f t="shared" si="3"/>
        <v>High</v>
      </c>
      <c r="I87" s="17">
        <f t="shared" si="4"/>
        <v>132</v>
      </c>
      <c r="J87" s="17" t="str">
        <f t="shared" si="5"/>
        <v>IT-EMP0086</v>
      </c>
      <c r="K87" s="39">
        <f ca="1">EOMONTH('Raw Data'!E87,12*(YEAR(TODAY())-YEAR('Raw Data'!E87))+3)</f>
        <v>46418</v>
      </c>
      <c r="L87" s="17" t="str">
        <f ca="1">IF(AND('Raw Data'!H87&gt;=4,D87="Active",E87&lt;2),"Watch","")</f>
        <v/>
      </c>
      <c r="M87" s="69" t="str">
        <f>IFERROR(VLOOKUP($A87,'Raw Data'!$A$2:$C$50,3,FALSE()),"Not in first 49 rows")</f>
        <v>Not in first 49 rows</v>
      </c>
    </row>
    <row r="88" spans="1:13" x14ac:dyDescent="0.3">
      <c r="A88" s="68" t="str">
        <f>'Raw Data'!A88</f>
        <v>EMP0087</v>
      </c>
      <c r="B88" s="17" t="str">
        <f>INDEX('Raw Data'!$B$2:$B$301, MATCH(A88,'Raw Data'!$A$2:$A$301,0))</f>
        <v>Neha Pillai</v>
      </c>
      <c r="C88" s="17" t="str">
        <f>VLOOKUP($A88,'Raw Data'!$A$2:$C$301,3,FALSE)</f>
        <v>Marketing</v>
      </c>
      <c r="D88" s="17" t="str">
        <f>IF(ISBLANK('Raw Data'!F88),"Active","Resigned")</f>
        <v>Active</v>
      </c>
      <c r="E88" s="17">
        <f ca="1">DATEDIF('Raw Data'!E88,IF(ISBLANK('Raw Data'!F88),TODAY(),'Raw Data'!F88),"Y")</f>
        <v>3</v>
      </c>
      <c r="F88" s="17" t="str">
        <f>_xlfn.IFS('Raw Data'!D88&lt;30,"Under 30",'Raw Data'!D88&lt;=40,"30-40",'Raw Data'!D88&lt;=50,"41-50",TRUE(),"51+")</f>
        <v>51+</v>
      </c>
      <c r="G88" s="38">
        <f>'Raw Data'!G88*12</f>
        <v>489600</v>
      </c>
      <c r="H88" s="17" t="str">
        <f t="shared" si="3"/>
        <v>Mid</v>
      </c>
      <c r="I88" s="17">
        <f t="shared" si="4"/>
        <v>199</v>
      </c>
      <c r="J88" s="17" t="str">
        <f t="shared" si="5"/>
        <v>Mar-EMP0087</v>
      </c>
      <c r="K88" s="39">
        <f ca="1">EOMONTH('Raw Data'!E88,12*(YEAR(TODAY())-YEAR('Raw Data'!E88))+3)</f>
        <v>46203</v>
      </c>
      <c r="L88" s="17" t="str">
        <f ca="1">IF(AND('Raw Data'!H88&gt;=4,D88="Active",E88&lt;2),"Watch","")</f>
        <v/>
      </c>
      <c r="M88" s="69" t="str">
        <f>IFERROR(VLOOKUP($A88,'Raw Data'!$A$2:$C$50,3,FALSE()),"Not in first 49 rows")</f>
        <v>Not in first 49 rows</v>
      </c>
    </row>
    <row r="89" spans="1:13" x14ac:dyDescent="0.3">
      <c r="A89" s="68" t="str">
        <f>'Raw Data'!A89</f>
        <v>EMP0088</v>
      </c>
      <c r="B89" s="17" t="str">
        <f>INDEX('Raw Data'!$B$2:$B$301, MATCH(A89,'Raw Data'!$A$2:$A$301,0))</f>
        <v>Riya Nair</v>
      </c>
      <c r="C89" s="17" t="str">
        <f>VLOOKUP($A89,'Raw Data'!$A$2:$C$301,3,FALSE)</f>
        <v>HR</v>
      </c>
      <c r="D89" s="17" t="str">
        <f>IF(ISBLANK('Raw Data'!F89),"Active","Resigned")</f>
        <v>Active</v>
      </c>
      <c r="E89" s="17">
        <f ca="1">DATEDIF('Raw Data'!E89,IF(ISBLANK('Raw Data'!F89),TODAY(),'Raw Data'!F89),"Y")</f>
        <v>7</v>
      </c>
      <c r="F89" s="17" t="str">
        <f>_xlfn.IFS('Raw Data'!D89&lt;30,"Under 30",'Raw Data'!D89&lt;=40,"30-40",'Raw Data'!D89&lt;=50,"41-50",TRUE(),"51+")</f>
        <v>30-40</v>
      </c>
      <c r="G89" s="38">
        <f>'Raw Data'!G89*12</f>
        <v>418800</v>
      </c>
      <c r="H89" s="17" t="str">
        <f t="shared" si="3"/>
        <v>Low</v>
      </c>
      <c r="I89" s="17">
        <f t="shared" si="4"/>
        <v>253</v>
      </c>
      <c r="J89" s="17" t="str">
        <f t="shared" si="5"/>
        <v>HR-EMP0088</v>
      </c>
      <c r="K89" s="39">
        <f ca="1">EOMONTH('Raw Data'!E89,12*(YEAR(TODAY())-YEAR('Raw Data'!E89))+3)</f>
        <v>46295</v>
      </c>
      <c r="L89" s="17" t="str">
        <f ca="1">IF(AND('Raw Data'!H89&gt;=4,D89="Active",E89&lt;2),"Watch","")</f>
        <v/>
      </c>
      <c r="M89" s="69" t="str">
        <f>IFERROR(VLOOKUP($A89,'Raw Data'!$A$2:$C$50,3,FALSE()),"Not in first 49 rows")</f>
        <v>Not in first 49 rows</v>
      </c>
    </row>
    <row r="90" spans="1:13" x14ac:dyDescent="0.3">
      <c r="A90" s="68" t="str">
        <f>'Raw Data'!A90</f>
        <v>EMP0089</v>
      </c>
      <c r="B90" s="17" t="str">
        <f>INDEX('Raw Data'!$B$2:$B$301, MATCH(A90,'Raw Data'!$A$2:$A$301,0))</f>
        <v>Sanjay Kapoor</v>
      </c>
      <c r="C90" s="17" t="str">
        <f>VLOOKUP($A90,'Raw Data'!$A$2:$C$301,3,FALSE)</f>
        <v>Operations</v>
      </c>
      <c r="D90" s="17" t="str">
        <f>IF(ISBLANK('Raw Data'!F90),"Active","Resigned")</f>
        <v>Active</v>
      </c>
      <c r="E90" s="17">
        <f ca="1">DATEDIF('Raw Data'!E90,IF(ISBLANK('Raw Data'!F90),TODAY(),'Raw Data'!F90),"Y")</f>
        <v>6</v>
      </c>
      <c r="F90" s="17" t="str">
        <f>_xlfn.IFS('Raw Data'!D90&lt;30,"Under 30",'Raw Data'!D90&lt;=40,"30-40",'Raw Data'!D90&lt;=50,"41-50",TRUE(),"51+")</f>
        <v>51+</v>
      </c>
      <c r="G90" s="38">
        <f>'Raw Data'!G90*12</f>
        <v>478800</v>
      </c>
      <c r="H90" s="17" t="str">
        <f t="shared" si="3"/>
        <v>Mid</v>
      </c>
      <c r="I90" s="17">
        <f t="shared" si="4"/>
        <v>205</v>
      </c>
      <c r="J90" s="17" t="str">
        <f t="shared" si="5"/>
        <v>Ope-EMP0089</v>
      </c>
      <c r="K90" s="39">
        <f ca="1">EOMONTH('Raw Data'!E90,12*(YEAR(TODAY())-YEAR('Raw Data'!E90))+3)</f>
        <v>46387</v>
      </c>
      <c r="L90" s="17" t="str">
        <f ca="1">IF(AND('Raw Data'!H90&gt;=4,D90="Active",E90&lt;2),"Watch","")</f>
        <v/>
      </c>
      <c r="M90" s="69" t="str">
        <f>IFERROR(VLOOKUP($A90,'Raw Data'!$A$2:$C$50,3,FALSE()),"Not in first 49 rows")</f>
        <v>Not in first 49 rows</v>
      </c>
    </row>
    <row r="91" spans="1:13" x14ac:dyDescent="0.3">
      <c r="A91" s="68" t="str">
        <f>'Raw Data'!A91</f>
        <v>EMP0090</v>
      </c>
      <c r="B91" s="17" t="str">
        <f>INDEX('Raw Data'!$B$2:$B$301, MATCH(A91,'Raw Data'!$A$2:$A$301,0))</f>
        <v>Myra Kumar</v>
      </c>
      <c r="C91" s="17" t="str">
        <f>VLOOKUP($A91,'Raw Data'!$A$2:$C$301,3,FALSE)</f>
        <v>Operations</v>
      </c>
      <c r="D91" s="17" t="str">
        <f>IF(ISBLANK('Raw Data'!F91),"Active","Resigned")</f>
        <v>Resigned</v>
      </c>
      <c r="E91" s="17">
        <f ca="1">DATEDIF('Raw Data'!E91,IF(ISBLANK('Raw Data'!F91),TODAY(),'Raw Data'!F91),"Y")</f>
        <v>6</v>
      </c>
      <c r="F91" s="17" t="str">
        <f>_xlfn.IFS('Raw Data'!D91&lt;30,"Under 30",'Raw Data'!D91&lt;=40,"30-40",'Raw Data'!D91&lt;=50,"41-50",TRUE(),"51+")</f>
        <v>30-40</v>
      </c>
      <c r="G91" s="38">
        <f>'Raw Data'!G91*12</f>
        <v>621600</v>
      </c>
      <c r="H91" s="17" t="str">
        <f t="shared" si="3"/>
        <v>High</v>
      </c>
      <c r="I91" s="17">
        <f t="shared" si="4"/>
        <v>71</v>
      </c>
      <c r="J91" s="17" t="str">
        <f t="shared" si="5"/>
        <v>Ope-EMP0090</v>
      </c>
      <c r="K91" s="39">
        <f ca="1">EOMONTH('Raw Data'!E91,12*(YEAR(TODAY())-YEAR('Raw Data'!E91))+3)</f>
        <v>46326</v>
      </c>
      <c r="L91" s="17" t="str">
        <f ca="1">IF(AND('Raw Data'!H91&gt;=4,D91="Active",E91&lt;2),"Watch","")</f>
        <v/>
      </c>
      <c r="M91" s="69" t="str">
        <f>IFERROR(VLOOKUP($A91,'Raw Data'!$A$2:$C$50,3,FALSE()),"Not in first 49 rows")</f>
        <v>Not in first 49 rows</v>
      </c>
    </row>
    <row r="92" spans="1:13" x14ac:dyDescent="0.3">
      <c r="A92" s="68" t="str">
        <f>'Raw Data'!A92</f>
        <v>EMP0091</v>
      </c>
      <c r="B92" s="17" t="str">
        <f>INDEX('Raw Data'!$B$2:$B$301, MATCH(A92,'Raw Data'!$A$2:$A$301,0))</f>
        <v>Aadhya Reddy</v>
      </c>
      <c r="C92" s="17" t="str">
        <f>VLOOKUP($A92,'Raw Data'!$A$2:$C$301,3,FALSE)</f>
        <v>Operations</v>
      </c>
      <c r="D92" s="17" t="str">
        <f>IF(ISBLANK('Raw Data'!F92),"Active","Resigned")</f>
        <v>Active</v>
      </c>
      <c r="E92" s="17">
        <f ca="1">DATEDIF('Raw Data'!E92,IF(ISBLANK('Raw Data'!F92),TODAY(),'Raw Data'!F92),"Y")</f>
        <v>7</v>
      </c>
      <c r="F92" s="17" t="str">
        <f>_xlfn.IFS('Raw Data'!D92&lt;30,"Under 30",'Raw Data'!D92&lt;=40,"30-40",'Raw Data'!D92&lt;=50,"41-50",TRUE(),"51+")</f>
        <v>51+</v>
      </c>
      <c r="G92" s="38">
        <f>'Raw Data'!G92*12</f>
        <v>628800</v>
      </c>
      <c r="H92" s="17" t="str">
        <f t="shared" si="3"/>
        <v>High</v>
      </c>
      <c r="I92" s="17">
        <f t="shared" si="4"/>
        <v>61</v>
      </c>
      <c r="J92" s="17" t="str">
        <f t="shared" si="5"/>
        <v>Ope-EMP0091</v>
      </c>
      <c r="K92" s="39">
        <f ca="1">EOMONTH('Raw Data'!E92,12*(YEAR(TODAY())-YEAR('Raw Data'!E92))+3)</f>
        <v>46173</v>
      </c>
      <c r="L92" s="17" t="str">
        <f ca="1">IF(AND('Raw Data'!H92&gt;=4,D92="Active",E92&lt;2),"Watch","")</f>
        <v/>
      </c>
      <c r="M92" s="69" t="str">
        <f>IFERROR(VLOOKUP($A92,'Raw Data'!$A$2:$C$50,3,FALSE()),"Not in first 49 rows")</f>
        <v>Not in first 49 rows</v>
      </c>
    </row>
    <row r="93" spans="1:13" x14ac:dyDescent="0.3">
      <c r="A93" s="68" t="str">
        <f>'Raw Data'!A93</f>
        <v>EMP0092</v>
      </c>
      <c r="B93" s="17" t="str">
        <f>INDEX('Raw Data'!$B$2:$B$301, MATCH(A93,'Raw Data'!$A$2:$A$301,0))</f>
        <v>Riya Kumar</v>
      </c>
      <c r="C93" s="17" t="str">
        <f>VLOOKUP($A93,'Raw Data'!$A$2:$C$301,3,FALSE)</f>
        <v>Marketing</v>
      </c>
      <c r="D93" s="17" t="str">
        <f>IF(ISBLANK('Raw Data'!F93),"Active","Resigned")</f>
        <v>Active</v>
      </c>
      <c r="E93" s="17">
        <f ca="1">DATEDIF('Raw Data'!E93,IF(ISBLANK('Raw Data'!F93),TODAY(),'Raw Data'!F93),"Y")</f>
        <v>8</v>
      </c>
      <c r="F93" s="17" t="str">
        <f>_xlfn.IFS('Raw Data'!D93&lt;30,"Under 30",'Raw Data'!D93&lt;=40,"30-40",'Raw Data'!D93&lt;=50,"41-50",TRUE(),"51+")</f>
        <v>30-40</v>
      </c>
      <c r="G93" s="38">
        <f>'Raw Data'!G93*12</f>
        <v>447600</v>
      </c>
      <c r="H93" s="17" t="str">
        <f t="shared" si="3"/>
        <v>Mid</v>
      </c>
      <c r="I93" s="17">
        <f t="shared" si="4"/>
        <v>226</v>
      </c>
      <c r="J93" s="17" t="str">
        <f t="shared" si="5"/>
        <v>Mar-EMP0092</v>
      </c>
      <c r="K93" s="39">
        <f ca="1">EOMONTH('Raw Data'!E93,12*(YEAR(TODAY())-YEAR('Raw Data'!E93))+3)</f>
        <v>46326</v>
      </c>
      <c r="L93" s="17" t="str">
        <f ca="1">IF(AND('Raw Data'!H93&gt;=4,D93="Active",E93&lt;2),"Watch","")</f>
        <v/>
      </c>
      <c r="M93" s="69" t="str">
        <f>IFERROR(VLOOKUP($A93,'Raw Data'!$A$2:$C$50,3,FALSE()),"Not in first 49 rows")</f>
        <v>Not in first 49 rows</v>
      </c>
    </row>
    <row r="94" spans="1:13" x14ac:dyDescent="0.3">
      <c r="A94" s="68" t="str">
        <f>'Raw Data'!A94</f>
        <v>EMP0093</v>
      </c>
      <c r="B94" s="17" t="str">
        <f>INDEX('Raw Data'!$B$2:$B$301, MATCH(A94,'Raw Data'!$A$2:$A$301,0))</f>
        <v>Rohan Iyer</v>
      </c>
      <c r="C94" s="17" t="str">
        <f>VLOOKUP($A94,'Raw Data'!$A$2:$C$301,3,FALSE)</f>
        <v>Sales</v>
      </c>
      <c r="D94" s="17" t="str">
        <f>IF(ISBLANK('Raw Data'!F94),"Active","Resigned")</f>
        <v>Active</v>
      </c>
      <c r="E94" s="17">
        <f ca="1">DATEDIF('Raw Data'!E94,IF(ISBLANK('Raw Data'!F94),TODAY(),'Raw Data'!F94),"Y")</f>
        <v>4</v>
      </c>
      <c r="F94" s="17" t="str">
        <f>_xlfn.IFS('Raw Data'!D94&lt;30,"Under 30",'Raw Data'!D94&lt;=40,"30-40",'Raw Data'!D94&lt;=50,"41-50",TRUE(),"51+")</f>
        <v>Under 30</v>
      </c>
      <c r="G94" s="38">
        <f>'Raw Data'!G94*12</f>
        <v>608400</v>
      </c>
      <c r="H94" s="17" t="str">
        <f t="shared" si="3"/>
        <v>High</v>
      </c>
      <c r="I94" s="17">
        <f t="shared" si="4"/>
        <v>83</v>
      </c>
      <c r="J94" s="17" t="str">
        <f t="shared" si="5"/>
        <v>Sal-EMP0093</v>
      </c>
      <c r="K94" s="39">
        <f ca="1">EOMONTH('Raw Data'!E94,12*(YEAR(TODAY())-YEAR('Raw Data'!E94))+3)</f>
        <v>46203</v>
      </c>
      <c r="L94" s="17" t="str">
        <f ca="1">IF(AND('Raw Data'!H94&gt;=4,D94="Active",E94&lt;2),"Watch","")</f>
        <v/>
      </c>
      <c r="M94" s="69" t="str">
        <f>IFERROR(VLOOKUP($A94,'Raw Data'!$A$2:$C$50,3,FALSE()),"Not in first 49 rows")</f>
        <v>Not in first 49 rows</v>
      </c>
    </row>
    <row r="95" spans="1:13" x14ac:dyDescent="0.3">
      <c r="A95" s="68" t="str">
        <f>'Raw Data'!A95</f>
        <v>EMP0094</v>
      </c>
      <c r="B95" s="17" t="str">
        <f>INDEX('Raw Data'!$B$2:$B$301, MATCH(A95,'Raw Data'!$A$2:$A$301,0))</f>
        <v>Neha Kumar</v>
      </c>
      <c r="C95" s="17" t="str">
        <f>VLOOKUP($A95,'Raw Data'!$A$2:$C$301,3,FALSE)</f>
        <v>Sales</v>
      </c>
      <c r="D95" s="17" t="str">
        <f>IF(ISBLANK('Raw Data'!F95),"Active","Resigned")</f>
        <v>Active</v>
      </c>
      <c r="E95" s="17">
        <f ca="1">DATEDIF('Raw Data'!E95,IF(ISBLANK('Raw Data'!F95),TODAY(),'Raw Data'!F95),"Y")</f>
        <v>7</v>
      </c>
      <c r="F95" s="17" t="str">
        <f>_xlfn.IFS('Raw Data'!D95&lt;30,"Under 30",'Raw Data'!D95&lt;=40,"30-40",'Raw Data'!D95&lt;=50,"41-50",TRUE(),"51+")</f>
        <v>51+</v>
      </c>
      <c r="G95" s="38">
        <f>'Raw Data'!G95*12</f>
        <v>463200</v>
      </c>
      <c r="H95" s="17" t="str">
        <f t="shared" si="3"/>
        <v>Mid</v>
      </c>
      <c r="I95" s="17">
        <f t="shared" si="4"/>
        <v>215</v>
      </c>
      <c r="J95" s="17" t="str">
        <f t="shared" si="5"/>
        <v>Sal-EMP0094</v>
      </c>
      <c r="K95" s="39">
        <f ca="1">EOMONTH('Raw Data'!E95,12*(YEAR(TODAY())-YEAR('Raw Data'!E95))+3)</f>
        <v>46203</v>
      </c>
      <c r="L95" s="17" t="str">
        <f ca="1">IF(AND('Raw Data'!H95&gt;=4,D95="Active",E95&lt;2),"Watch","")</f>
        <v/>
      </c>
      <c r="M95" s="69" t="str">
        <f>IFERROR(VLOOKUP($A95,'Raw Data'!$A$2:$C$50,3,FALSE()),"Not in first 49 rows")</f>
        <v>Not in first 49 rows</v>
      </c>
    </row>
    <row r="96" spans="1:13" x14ac:dyDescent="0.3">
      <c r="A96" s="68" t="str">
        <f>'Raw Data'!A96</f>
        <v>EMP0095</v>
      </c>
      <c r="B96" s="17" t="str">
        <f>INDEX('Raw Data'!$B$2:$B$301, MATCH(A96,'Raw Data'!$A$2:$A$301,0))</f>
        <v>Vihaan Iyer</v>
      </c>
      <c r="C96" s="17" t="str">
        <f>VLOOKUP($A96,'Raw Data'!$A$2:$C$301,3,FALSE)</f>
        <v>HR</v>
      </c>
      <c r="D96" s="17" t="str">
        <f>IF(ISBLANK('Raw Data'!F96),"Active","Resigned")</f>
        <v>Resigned</v>
      </c>
      <c r="E96" s="17">
        <f ca="1">DATEDIF('Raw Data'!E96,IF(ISBLANK('Raw Data'!F96),TODAY(),'Raw Data'!F96),"Y")</f>
        <v>0</v>
      </c>
      <c r="F96" s="17" t="str">
        <f>_xlfn.IFS('Raw Data'!D96&lt;30,"Under 30",'Raw Data'!D96&lt;=40,"30-40",'Raw Data'!D96&lt;=50,"41-50",TRUE(),"51+")</f>
        <v>Under 30</v>
      </c>
      <c r="G96" s="38">
        <f>'Raw Data'!G96*12</f>
        <v>333600</v>
      </c>
      <c r="H96" s="17" t="str">
        <f t="shared" si="3"/>
        <v>Low</v>
      </c>
      <c r="I96" s="17">
        <f t="shared" si="4"/>
        <v>298</v>
      </c>
      <c r="J96" s="17" t="str">
        <f t="shared" si="5"/>
        <v>HR-EMP0095</v>
      </c>
      <c r="K96" s="39">
        <f ca="1">EOMONTH('Raw Data'!E96,12*(YEAR(TODAY())-YEAR('Raw Data'!E96))+3)</f>
        <v>46203</v>
      </c>
      <c r="L96" s="17" t="str">
        <f ca="1">IF(AND('Raw Data'!H96&gt;=4,D96="Active",E96&lt;2),"Watch","")</f>
        <v/>
      </c>
      <c r="M96" s="69" t="str">
        <f>IFERROR(VLOOKUP($A96,'Raw Data'!$A$2:$C$50,3,FALSE()),"Not in first 49 rows")</f>
        <v>Not in first 49 rows</v>
      </c>
    </row>
    <row r="97" spans="1:13" x14ac:dyDescent="0.3">
      <c r="A97" s="68" t="str">
        <f>'Raw Data'!A97</f>
        <v>EMP0096</v>
      </c>
      <c r="B97" s="17" t="str">
        <f>INDEX('Raw Data'!$B$2:$B$301, MATCH(A97,'Raw Data'!$A$2:$A$301,0))</f>
        <v>Vihaan Singh</v>
      </c>
      <c r="C97" s="17" t="str">
        <f>VLOOKUP($A97,'Raw Data'!$A$2:$C$301,3,FALSE)</f>
        <v>Marketing</v>
      </c>
      <c r="D97" s="17" t="str">
        <f>IF(ISBLANK('Raw Data'!F97),"Active","Resigned")</f>
        <v>Resigned</v>
      </c>
      <c r="E97" s="17">
        <f ca="1">DATEDIF('Raw Data'!E97,IF(ISBLANK('Raw Data'!F97),TODAY(),'Raw Data'!F97),"Y")</f>
        <v>3</v>
      </c>
      <c r="F97" s="17" t="str">
        <f>_xlfn.IFS('Raw Data'!D97&lt;30,"Under 30",'Raw Data'!D97&lt;=40,"30-40",'Raw Data'!D97&lt;=50,"41-50",TRUE(),"51+")</f>
        <v>51+</v>
      </c>
      <c r="G97" s="38">
        <f>'Raw Data'!G97*12</f>
        <v>393600</v>
      </c>
      <c r="H97" s="17" t="str">
        <f t="shared" si="3"/>
        <v>Low</v>
      </c>
      <c r="I97" s="17">
        <f t="shared" si="4"/>
        <v>268</v>
      </c>
      <c r="J97" s="17" t="str">
        <f t="shared" si="5"/>
        <v>Mar-EMP0096</v>
      </c>
      <c r="K97" s="39">
        <f ca="1">EOMONTH('Raw Data'!E97,12*(YEAR(TODAY())-YEAR('Raw Data'!E97))+3)</f>
        <v>46265</v>
      </c>
      <c r="L97" s="17" t="str">
        <f ca="1">IF(AND('Raw Data'!H97&gt;=4,D97="Active",E97&lt;2),"Watch","")</f>
        <v/>
      </c>
      <c r="M97" s="69" t="str">
        <f>IFERROR(VLOOKUP($A97,'Raw Data'!$A$2:$C$50,3,FALSE()),"Not in first 49 rows")</f>
        <v>Not in first 49 rows</v>
      </c>
    </row>
    <row r="98" spans="1:13" x14ac:dyDescent="0.3">
      <c r="A98" s="68" t="str">
        <f>'Raw Data'!A98</f>
        <v>EMP0097</v>
      </c>
      <c r="B98" s="17" t="str">
        <f>INDEX('Raw Data'!$B$2:$B$301, MATCH(A98,'Raw Data'!$A$2:$A$301,0))</f>
        <v>Swati Agarwal</v>
      </c>
      <c r="C98" s="17" t="str">
        <f>VLOOKUP($A98,'Raw Data'!$A$2:$C$301,3,FALSE)</f>
        <v>IT</v>
      </c>
      <c r="D98" s="17" t="str">
        <f>IF(ISBLANK('Raw Data'!F98),"Active","Resigned")</f>
        <v>Active</v>
      </c>
      <c r="E98" s="17">
        <f ca="1">DATEDIF('Raw Data'!E98,IF(ISBLANK('Raw Data'!F98),TODAY(),'Raw Data'!F98),"Y")</f>
        <v>1</v>
      </c>
      <c r="F98" s="17" t="str">
        <f>_xlfn.IFS('Raw Data'!D98&lt;30,"Under 30",'Raw Data'!D98&lt;=40,"30-40",'Raw Data'!D98&lt;=50,"41-50",TRUE(),"51+")</f>
        <v>30-40</v>
      </c>
      <c r="G98" s="38">
        <f>'Raw Data'!G98*12</f>
        <v>657600</v>
      </c>
      <c r="H98" s="17" t="str">
        <f t="shared" si="3"/>
        <v>High</v>
      </c>
      <c r="I98" s="17">
        <f t="shared" si="4"/>
        <v>43</v>
      </c>
      <c r="J98" s="17" t="str">
        <f t="shared" si="5"/>
        <v>IT-EMP0097</v>
      </c>
      <c r="K98" s="39">
        <f ca="1">EOMONTH('Raw Data'!E98,12*(YEAR(TODAY())-YEAR('Raw Data'!E98))+3)</f>
        <v>46387</v>
      </c>
      <c r="L98" s="17" t="str">
        <f ca="1">IF(AND('Raw Data'!H98&gt;=4,D98="Active",E98&lt;2),"Watch","")</f>
        <v/>
      </c>
      <c r="M98" s="69" t="str">
        <f>IFERROR(VLOOKUP($A98,'Raw Data'!$A$2:$C$50,3,FALSE()),"Not in first 49 rows")</f>
        <v>Not in first 49 rows</v>
      </c>
    </row>
    <row r="99" spans="1:13" x14ac:dyDescent="0.3">
      <c r="A99" s="68" t="str">
        <f>'Raw Data'!A99</f>
        <v>EMP0098</v>
      </c>
      <c r="B99" s="17" t="str">
        <f>INDEX('Raw Data'!$B$2:$B$301, MATCH(A99,'Raw Data'!$A$2:$A$301,0))</f>
        <v>Shreya Kapoor</v>
      </c>
      <c r="C99" s="17" t="str">
        <f>VLOOKUP($A99,'Raw Data'!$A$2:$C$301,3,FALSE)</f>
        <v>Finance</v>
      </c>
      <c r="D99" s="17" t="str">
        <f>IF(ISBLANK('Raw Data'!F99),"Active","Resigned")</f>
        <v>Resigned</v>
      </c>
      <c r="E99" s="17">
        <f ca="1">DATEDIF('Raw Data'!E99,IF(ISBLANK('Raw Data'!F99),TODAY(),'Raw Data'!F99),"Y")</f>
        <v>0</v>
      </c>
      <c r="F99" s="17" t="str">
        <f>_xlfn.IFS('Raw Data'!D99&lt;30,"Under 30",'Raw Data'!D99&lt;=40,"30-40",'Raw Data'!D99&lt;=50,"41-50",TRUE(),"51+")</f>
        <v>51+</v>
      </c>
      <c r="G99" s="38">
        <f>'Raw Data'!G99*12</f>
        <v>764400</v>
      </c>
      <c r="H99" s="17" t="str">
        <f t="shared" si="3"/>
        <v>Premium</v>
      </c>
      <c r="I99" s="17">
        <f t="shared" si="4"/>
        <v>13</v>
      </c>
      <c r="J99" s="17" t="str">
        <f t="shared" si="5"/>
        <v>Fin-EMP0098</v>
      </c>
      <c r="K99" s="39">
        <f ca="1">EOMONTH('Raw Data'!E99,12*(YEAR(TODAY())-YEAR('Raw Data'!E99))+3)</f>
        <v>46477</v>
      </c>
      <c r="L99" s="17" t="str">
        <f ca="1">IF(AND('Raw Data'!H99&gt;=4,D99="Active",E99&lt;2),"Watch","")</f>
        <v/>
      </c>
      <c r="M99" s="69" t="str">
        <f>IFERROR(VLOOKUP($A99,'Raw Data'!$A$2:$C$50,3,FALSE()),"Not in first 49 rows")</f>
        <v>Not in first 49 rows</v>
      </c>
    </row>
    <row r="100" spans="1:13" x14ac:dyDescent="0.3">
      <c r="A100" s="68" t="str">
        <f>'Raw Data'!A100</f>
        <v>EMP0099</v>
      </c>
      <c r="B100" s="17" t="str">
        <f>INDEX('Raw Data'!$B$2:$B$301, MATCH(A100,'Raw Data'!$A$2:$A$301,0))</f>
        <v>Ira Iyer</v>
      </c>
      <c r="C100" s="17" t="str">
        <f>VLOOKUP($A100,'Raw Data'!$A$2:$C$301,3,FALSE)</f>
        <v>Operations</v>
      </c>
      <c r="D100" s="17" t="str">
        <f>IF(ISBLANK('Raw Data'!F100),"Active","Resigned")</f>
        <v>Resigned</v>
      </c>
      <c r="E100" s="17">
        <f ca="1">DATEDIF('Raw Data'!E100,IF(ISBLANK('Raw Data'!F100),TODAY(),'Raw Data'!F100),"Y")</f>
        <v>6</v>
      </c>
      <c r="F100" s="17" t="str">
        <f>_xlfn.IFS('Raw Data'!D100&lt;30,"Under 30",'Raw Data'!D100&lt;=40,"30-40",'Raw Data'!D100&lt;=50,"41-50",TRUE(),"51+")</f>
        <v>Under 30</v>
      </c>
      <c r="G100" s="38">
        <f>'Raw Data'!G100*12</f>
        <v>369600</v>
      </c>
      <c r="H100" s="17" t="str">
        <f t="shared" si="3"/>
        <v>Low</v>
      </c>
      <c r="I100" s="17">
        <f t="shared" si="4"/>
        <v>283</v>
      </c>
      <c r="J100" s="17" t="str">
        <f t="shared" si="5"/>
        <v>Ope-EMP0099</v>
      </c>
      <c r="K100" s="39">
        <f ca="1">EOMONTH('Raw Data'!E100,12*(YEAR(TODAY())-YEAR('Raw Data'!E100))+3)</f>
        <v>46418</v>
      </c>
      <c r="L100" s="17" t="str">
        <f ca="1">IF(AND('Raw Data'!H100&gt;=4,D100="Active",E100&lt;2),"Watch","")</f>
        <v/>
      </c>
      <c r="M100" s="69" t="str">
        <f>IFERROR(VLOOKUP($A100,'Raw Data'!$A$2:$C$50,3,FALSE()),"Not in first 49 rows")</f>
        <v>Not in first 49 rows</v>
      </c>
    </row>
    <row r="101" spans="1:13" x14ac:dyDescent="0.3">
      <c r="A101" s="68" t="str">
        <f>'Raw Data'!A101</f>
        <v>EMP0100</v>
      </c>
      <c r="B101" s="17" t="str">
        <f>INDEX('Raw Data'!$B$2:$B$301, MATCH(A101,'Raw Data'!$A$2:$A$301,0))</f>
        <v>Deepak Agarwal</v>
      </c>
      <c r="C101" s="17" t="str">
        <f>VLOOKUP($A101,'Raw Data'!$A$2:$C$301,3,FALSE)</f>
        <v>HR</v>
      </c>
      <c r="D101" s="17" t="str">
        <f>IF(ISBLANK('Raw Data'!F101),"Active","Resigned")</f>
        <v>Resigned</v>
      </c>
      <c r="E101" s="17">
        <f ca="1">DATEDIF('Raw Data'!E101,IF(ISBLANK('Raw Data'!F101),TODAY(),'Raw Data'!F101),"Y")</f>
        <v>8</v>
      </c>
      <c r="F101" s="17" t="str">
        <f>_xlfn.IFS('Raw Data'!D101&lt;30,"Under 30",'Raw Data'!D101&lt;=40,"30-40",'Raw Data'!D101&lt;=50,"41-50",TRUE(),"51+")</f>
        <v>30-40</v>
      </c>
      <c r="G101" s="38">
        <f>'Raw Data'!G101*12</f>
        <v>393600</v>
      </c>
      <c r="H101" s="17" t="str">
        <f t="shared" si="3"/>
        <v>Low</v>
      </c>
      <c r="I101" s="17">
        <f t="shared" si="4"/>
        <v>268</v>
      </c>
      <c r="J101" s="17" t="str">
        <f t="shared" si="5"/>
        <v>HR-EMP0100</v>
      </c>
      <c r="K101" s="39">
        <f ca="1">EOMONTH('Raw Data'!E101,12*(YEAR(TODAY())-YEAR('Raw Data'!E101))+3)</f>
        <v>46265</v>
      </c>
      <c r="L101" s="17" t="str">
        <f ca="1">IF(AND('Raw Data'!H101&gt;=4,D101="Active",E101&lt;2),"Watch","")</f>
        <v/>
      </c>
      <c r="M101" s="69" t="str">
        <f>IFERROR(VLOOKUP($A101,'Raw Data'!$A$2:$C$50,3,FALSE()),"Not in first 49 rows")</f>
        <v>Not in first 49 rows</v>
      </c>
    </row>
    <row r="102" spans="1:13" x14ac:dyDescent="0.3">
      <c r="A102" s="68" t="str">
        <f>'Raw Data'!A102</f>
        <v>EMP0101</v>
      </c>
      <c r="B102" s="17" t="str">
        <f>INDEX('Raw Data'!$B$2:$B$301, MATCH(A102,'Raw Data'!$A$2:$A$301,0))</f>
        <v>Arjun Nair</v>
      </c>
      <c r="C102" s="17" t="str">
        <f>VLOOKUP($A102,'Raw Data'!$A$2:$C$301,3,FALSE)</f>
        <v>Finance</v>
      </c>
      <c r="D102" s="17" t="str">
        <f>IF(ISBLANK('Raw Data'!F102),"Active","Resigned")</f>
        <v>Resigned</v>
      </c>
      <c r="E102" s="17">
        <f ca="1">DATEDIF('Raw Data'!E102,IF(ISBLANK('Raw Data'!F102),TODAY(),'Raw Data'!F102),"Y")</f>
        <v>1</v>
      </c>
      <c r="F102" s="17" t="str">
        <f>_xlfn.IFS('Raw Data'!D102&lt;30,"Under 30",'Raw Data'!D102&lt;=40,"30-40",'Raw Data'!D102&lt;=50,"41-50",TRUE(),"51+")</f>
        <v>30-40</v>
      </c>
      <c r="G102" s="38">
        <f>'Raw Data'!G102*12</f>
        <v>678000</v>
      </c>
      <c r="H102" s="17" t="str">
        <f t="shared" si="3"/>
        <v>Premium</v>
      </c>
      <c r="I102" s="17">
        <f t="shared" si="4"/>
        <v>36</v>
      </c>
      <c r="J102" s="17" t="str">
        <f t="shared" si="5"/>
        <v>Fin-EMP0101</v>
      </c>
      <c r="K102" s="39">
        <f ca="1">EOMONTH('Raw Data'!E102,12*(YEAR(TODAY())-YEAR('Raw Data'!E102))+3)</f>
        <v>46418</v>
      </c>
      <c r="L102" s="17" t="str">
        <f ca="1">IF(AND('Raw Data'!H102&gt;=4,D102="Active",E102&lt;2),"Watch","")</f>
        <v/>
      </c>
      <c r="M102" s="69" t="str">
        <f>IFERROR(VLOOKUP($A102,'Raw Data'!$A$2:$C$50,3,FALSE()),"Not in first 49 rows")</f>
        <v>Not in first 49 rows</v>
      </c>
    </row>
    <row r="103" spans="1:13" x14ac:dyDescent="0.3">
      <c r="A103" s="68" t="str">
        <f>'Raw Data'!A103</f>
        <v>EMP0102</v>
      </c>
      <c r="B103" s="17" t="str">
        <f>INDEX('Raw Data'!$B$2:$B$301, MATCH(A103,'Raw Data'!$A$2:$A$301,0))</f>
        <v>Karan Gupta</v>
      </c>
      <c r="C103" s="17" t="str">
        <f>VLOOKUP($A103,'Raw Data'!$A$2:$C$301,3,FALSE)</f>
        <v>Sales</v>
      </c>
      <c r="D103" s="17" t="str">
        <f>IF(ISBLANK('Raw Data'!F103),"Active","Resigned")</f>
        <v>Active</v>
      </c>
      <c r="E103" s="17">
        <f ca="1">DATEDIF('Raw Data'!E103,IF(ISBLANK('Raw Data'!F103),TODAY(),'Raw Data'!F103),"Y")</f>
        <v>1</v>
      </c>
      <c r="F103" s="17" t="str">
        <f>_xlfn.IFS('Raw Data'!D103&lt;30,"Under 30",'Raw Data'!D103&lt;=40,"30-40",'Raw Data'!D103&lt;=50,"41-50",TRUE(),"51+")</f>
        <v>30-40</v>
      </c>
      <c r="G103" s="38">
        <f>'Raw Data'!G103*12</f>
        <v>552000</v>
      </c>
      <c r="H103" s="17" t="str">
        <f t="shared" si="3"/>
        <v>High</v>
      </c>
      <c r="I103" s="17">
        <f t="shared" si="4"/>
        <v>134</v>
      </c>
      <c r="J103" s="17" t="str">
        <f t="shared" si="5"/>
        <v>Sal-EMP0102</v>
      </c>
      <c r="K103" s="39">
        <f ca="1">EOMONTH('Raw Data'!E103,12*(YEAR(TODAY())-YEAR('Raw Data'!E103))+3)</f>
        <v>46446</v>
      </c>
      <c r="L103" s="17" t="str">
        <f ca="1">IF(AND('Raw Data'!H103&gt;=4,D103="Active",E103&lt;2),"Watch","")</f>
        <v>Watch</v>
      </c>
      <c r="M103" s="69" t="str">
        <f>IFERROR(VLOOKUP($A103,'Raw Data'!$A$2:$C$50,3,FALSE()),"Not in first 49 rows")</f>
        <v>Not in first 49 rows</v>
      </c>
    </row>
    <row r="104" spans="1:13" x14ac:dyDescent="0.3">
      <c r="A104" s="68" t="str">
        <f>'Raw Data'!A104</f>
        <v>EMP0103</v>
      </c>
      <c r="B104" s="17" t="str">
        <f>INDEX('Raw Data'!$B$2:$B$301, MATCH(A104,'Raw Data'!$A$2:$A$301,0))</f>
        <v>Riya Malhotra</v>
      </c>
      <c r="C104" s="17" t="str">
        <f>VLOOKUP($A104,'Raw Data'!$A$2:$C$301,3,FALSE)</f>
        <v>Sales</v>
      </c>
      <c r="D104" s="17" t="str">
        <f>IF(ISBLANK('Raw Data'!F104),"Active","Resigned")</f>
        <v>Active</v>
      </c>
      <c r="E104" s="17">
        <f ca="1">DATEDIF('Raw Data'!E104,IF(ISBLANK('Raw Data'!F104),TODAY(),'Raw Data'!F104),"Y")</f>
        <v>2</v>
      </c>
      <c r="F104" s="17" t="str">
        <f>_xlfn.IFS('Raw Data'!D104&lt;30,"Under 30",'Raw Data'!D104&lt;=40,"30-40",'Raw Data'!D104&lt;=50,"41-50",TRUE(),"51+")</f>
        <v>51+</v>
      </c>
      <c r="G104" s="38">
        <f>'Raw Data'!G104*12</f>
        <v>452400</v>
      </c>
      <c r="H104" s="17" t="str">
        <f t="shared" si="3"/>
        <v>Mid</v>
      </c>
      <c r="I104" s="17">
        <f t="shared" si="4"/>
        <v>225</v>
      </c>
      <c r="J104" s="17" t="str">
        <f t="shared" si="5"/>
        <v>Sal-EMP0103</v>
      </c>
      <c r="K104" s="39">
        <f ca="1">EOMONTH('Raw Data'!E104,12*(YEAR(TODAY())-YEAR('Raw Data'!E104))+3)</f>
        <v>46387</v>
      </c>
      <c r="L104" s="17" t="str">
        <f ca="1">IF(AND('Raw Data'!H104&gt;=4,D104="Active",E104&lt;2),"Watch","")</f>
        <v/>
      </c>
      <c r="M104" s="69" t="str">
        <f>IFERROR(VLOOKUP($A104,'Raw Data'!$A$2:$C$50,3,FALSE()),"Not in first 49 rows")</f>
        <v>Not in first 49 rows</v>
      </c>
    </row>
    <row r="105" spans="1:13" x14ac:dyDescent="0.3">
      <c r="A105" s="68" t="str">
        <f>'Raw Data'!A105</f>
        <v>EMP0104</v>
      </c>
      <c r="B105" s="17" t="str">
        <f>INDEX('Raw Data'!$B$2:$B$301, MATCH(A105,'Raw Data'!$A$2:$A$301,0))</f>
        <v>Sunita Chopra</v>
      </c>
      <c r="C105" s="17" t="str">
        <f>VLOOKUP($A105,'Raw Data'!$A$2:$C$301,3,FALSE)</f>
        <v>HR</v>
      </c>
      <c r="D105" s="17" t="str">
        <f>IF(ISBLANK('Raw Data'!F105),"Active","Resigned")</f>
        <v>Resigned</v>
      </c>
      <c r="E105" s="17">
        <f ca="1">DATEDIF('Raw Data'!E105,IF(ISBLANK('Raw Data'!F105),TODAY(),'Raw Data'!F105),"Y")</f>
        <v>2</v>
      </c>
      <c r="F105" s="17" t="str">
        <f>_xlfn.IFS('Raw Data'!D105&lt;30,"Under 30",'Raw Data'!D105&lt;=40,"30-40",'Raw Data'!D105&lt;=50,"41-50",TRUE(),"51+")</f>
        <v>Under 30</v>
      </c>
      <c r="G105" s="38">
        <f>'Raw Data'!G105*12</f>
        <v>523200</v>
      </c>
      <c r="H105" s="17" t="str">
        <f t="shared" si="3"/>
        <v>Mid</v>
      </c>
      <c r="I105" s="17">
        <f t="shared" si="4"/>
        <v>172</v>
      </c>
      <c r="J105" s="17" t="str">
        <f t="shared" si="5"/>
        <v>HR-EMP0104</v>
      </c>
      <c r="K105" s="39">
        <f ca="1">EOMONTH('Raw Data'!E105,12*(YEAR(TODAY())-YEAR('Raw Data'!E105))+3)</f>
        <v>46387</v>
      </c>
      <c r="L105" s="17" t="str">
        <f ca="1">IF(AND('Raw Data'!H105&gt;=4,D105="Active",E105&lt;2),"Watch","")</f>
        <v/>
      </c>
      <c r="M105" s="69" t="str">
        <f>IFERROR(VLOOKUP($A105,'Raw Data'!$A$2:$C$50,3,FALSE()),"Not in first 49 rows")</f>
        <v>Not in first 49 rows</v>
      </c>
    </row>
    <row r="106" spans="1:13" x14ac:dyDescent="0.3">
      <c r="A106" s="68" t="str">
        <f>'Raw Data'!A106</f>
        <v>EMP0105</v>
      </c>
      <c r="B106" s="17" t="str">
        <f>INDEX('Raw Data'!$B$2:$B$301, MATCH(A106,'Raw Data'!$A$2:$A$301,0))</f>
        <v>Vivaan Gupta</v>
      </c>
      <c r="C106" s="17" t="str">
        <f>VLOOKUP($A106,'Raw Data'!$A$2:$C$301,3,FALSE)</f>
        <v>Marketing</v>
      </c>
      <c r="D106" s="17" t="str">
        <f>IF(ISBLANK('Raw Data'!F106),"Active","Resigned")</f>
        <v>Active</v>
      </c>
      <c r="E106" s="17">
        <f ca="1">DATEDIF('Raw Data'!E106,IF(ISBLANK('Raw Data'!F106),TODAY(),'Raw Data'!F106),"Y")</f>
        <v>3</v>
      </c>
      <c r="F106" s="17" t="str">
        <f>_xlfn.IFS('Raw Data'!D106&lt;30,"Under 30",'Raw Data'!D106&lt;=40,"30-40",'Raw Data'!D106&lt;=50,"41-50",TRUE(),"51+")</f>
        <v>51+</v>
      </c>
      <c r="G106" s="38">
        <f>'Raw Data'!G106*12</f>
        <v>648000</v>
      </c>
      <c r="H106" s="17" t="str">
        <f t="shared" si="3"/>
        <v>High</v>
      </c>
      <c r="I106" s="17">
        <f t="shared" si="4"/>
        <v>48</v>
      </c>
      <c r="J106" s="17" t="str">
        <f t="shared" si="5"/>
        <v>Mar-EMP0105</v>
      </c>
      <c r="K106" s="39">
        <f ca="1">EOMONTH('Raw Data'!E106,12*(YEAR(TODAY())-YEAR('Raw Data'!E106))+3)</f>
        <v>46356</v>
      </c>
      <c r="L106" s="17" t="str">
        <f ca="1">IF(AND('Raw Data'!H106&gt;=4,D106="Active",E106&lt;2),"Watch","")</f>
        <v/>
      </c>
      <c r="M106" s="69" t="str">
        <f>IFERROR(VLOOKUP($A106,'Raw Data'!$A$2:$C$50,3,FALSE()),"Not in first 49 rows")</f>
        <v>Not in first 49 rows</v>
      </c>
    </row>
    <row r="107" spans="1:13" x14ac:dyDescent="0.3">
      <c r="A107" s="68" t="str">
        <f>'Raw Data'!A107</f>
        <v>EMP0106</v>
      </c>
      <c r="B107" s="17" t="str">
        <f>INDEX('Raw Data'!$B$2:$B$301, MATCH(A107,'Raw Data'!$A$2:$A$301,0))</f>
        <v>Anika Menon</v>
      </c>
      <c r="C107" s="17" t="str">
        <f>VLOOKUP($A107,'Raw Data'!$A$2:$C$301,3,FALSE)</f>
        <v>Sales</v>
      </c>
      <c r="D107" s="17" t="str">
        <f>IF(ISBLANK('Raw Data'!F107),"Active","Resigned")</f>
        <v>Active</v>
      </c>
      <c r="E107" s="17">
        <f ca="1">DATEDIF('Raw Data'!E107,IF(ISBLANK('Raw Data'!F107),TODAY(),'Raw Data'!F107),"Y")</f>
        <v>5</v>
      </c>
      <c r="F107" s="17" t="str">
        <f>_xlfn.IFS('Raw Data'!D107&lt;30,"Under 30",'Raw Data'!D107&lt;=40,"30-40",'Raw Data'!D107&lt;=50,"41-50",TRUE(),"51+")</f>
        <v>30-40</v>
      </c>
      <c r="G107" s="38">
        <f>'Raw Data'!G107*12</f>
        <v>463200</v>
      </c>
      <c r="H107" s="17" t="str">
        <f t="shared" si="3"/>
        <v>Mid</v>
      </c>
      <c r="I107" s="17">
        <f t="shared" si="4"/>
        <v>215</v>
      </c>
      <c r="J107" s="17" t="str">
        <f t="shared" si="5"/>
        <v>Sal-EMP0106</v>
      </c>
      <c r="K107" s="39">
        <f ca="1">EOMONTH('Raw Data'!E107,12*(YEAR(TODAY())-YEAR('Raw Data'!E107))+3)</f>
        <v>46234</v>
      </c>
      <c r="L107" s="17" t="str">
        <f ca="1">IF(AND('Raw Data'!H107&gt;=4,D107="Active",E107&lt;2),"Watch","")</f>
        <v/>
      </c>
      <c r="M107" s="69" t="str">
        <f>IFERROR(VLOOKUP($A107,'Raw Data'!$A$2:$C$50,3,FALSE()),"Not in first 49 rows")</f>
        <v>Not in first 49 rows</v>
      </c>
    </row>
    <row r="108" spans="1:13" x14ac:dyDescent="0.3">
      <c r="A108" s="68" t="str">
        <f>'Raw Data'!A108</f>
        <v>EMP0107</v>
      </c>
      <c r="B108" s="17" t="str">
        <f>INDEX('Raw Data'!$B$2:$B$301, MATCH(A108,'Raw Data'!$A$2:$A$301,0))</f>
        <v>Shreya Kapoor</v>
      </c>
      <c r="C108" s="17" t="str">
        <f>VLOOKUP($A108,'Raw Data'!$A$2:$C$301,3,FALSE)</f>
        <v>Operations</v>
      </c>
      <c r="D108" s="17" t="str">
        <f>IF(ISBLANK('Raw Data'!F108),"Active","Resigned")</f>
        <v>Active</v>
      </c>
      <c r="E108" s="17">
        <f ca="1">DATEDIF('Raw Data'!E108,IF(ISBLANK('Raw Data'!F108),TODAY(),'Raw Data'!F108),"Y")</f>
        <v>9</v>
      </c>
      <c r="F108" s="17" t="str">
        <f>_xlfn.IFS('Raw Data'!D108&lt;30,"Under 30",'Raw Data'!D108&lt;=40,"30-40",'Raw Data'!D108&lt;=50,"41-50",TRUE(),"51+")</f>
        <v>51+</v>
      </c>
      <c r="G108" s="38">
        <f>'Raw Data'!G108*12</f>
        <v>465600</v>
      </c>
      <c r="H108" s="17" t="str">
        <f t="shared" si="3"/>
        <v>Mid</v>
      </c>
      <c r="I108" s="17">
        <f t="shared" si="4"/>
        <v>211</v>
      </c>
      <c r="J108" s="17" t="str">
        <f t="shared" si="5"/>
        <v>Ope-EMP0107</v>
      </c>
      <c r="K108" s="39">
        <f ca="1">EOMONTH('Raw Data'!E108,12*(YEAR(TODAY())-YEAR('Raw Data'!E108))+3)</f>
        <v>46142</v>
      </c>
      <c r="L108" s="17" t="str">
        <f ca="1">IF(AND('Raw Data'!H108&gt;=4,D108="Active",E108&lt;2),"Watch","")</f>
        <v/>
      </c>
      <c r="M108" s="69" t="str">
        <f>IFERROR(VLOOKUP($A108,'Raw Data'!$A$2:$C$50,3,FALSE()),"Not in first 49 rows")</f>
        <v>Not in first 49 rows</v>
      </c>
    </row>
    <row r="109" spans="1:13" x14ac:dyDescent="0.3">
      <c r="A109" s="68" t="str">
        <f>'Raw Data'!A109</f>
        <v>EMP0108</v>
      </c>
      <c r="B109" s="17" t="str">
        <f>INDEX('Raw Data'!$B$2:$B$301, MATCH(A109,'Raw Data'!$A$2:$A$301,0))</f>
        <v>Ishaan Patel</v>
      </c>
      <c r="C109" s="17" t="str">
        <f>VLOOKUP($A109,'Raw Data'!$A$2:$C$301,3,FALSE)</f>
        <v>Finance</v>
      </c>
      <c r="D109" s="17" t="str">
        <f>IF(ISBLANK('Raw Data'!F109),"Active","Resigned")</f>
        <v>Active</v>
      </c>
      <c r="E109" s="17">
        <f ca="1">DATEDIF('Raw Data'!E109,IF(ISBLANK('Raw Data'!F109),TODAY(),'Raw Data'!F109),"Y")</f>
        <v>2</v>
      </c>
      <c r="F109" s="17" t="str">
        <f>_xlfn.IFS('Raw Data'!D109&lt;30,"Under 30",'Raw Data'!D109&lt;=40,"30-40",'Raw Data'!D109&lt;=50,"41-50",TRUE(),"51+")</f>
        <v>41-50</v>
      </c>
      <c r="G109" s="38">
        <f>'Raw Data'!G109*12</f>
        <v>682800</v>
      </c>
      <c r="H109" s="17" t="str">
        <f t="shared" si="3"/>
        <v>Premium</v>
      </c>
      <c r="I109" s="17">
        <f t="shared" si="4"/>
        <v>35</v>
      </c>
      <c r="J109" s="17" t="str">
        <f t="shared" si="5"/>
        <v>Fin-EMP0108</v>
      </c>
      <c r="K109" s="39">
        <f ca="1">EOMONTH('Raw Data'!E109,12*(YEAR(TODAY())-YEAR('Raw Data'!E109))+3)</f>
        <v>46418</v>
      </c>
      <c r="L109" s="17" t="str">
        <f ca="1">IF(AND('Raw Data'!H109&gt;=4,D109="Active",E109&lt;2),"Watch","")</f>
        <v/>
      </c>
      <c r="M109" s="69" t="str">
        <f>IFERROR(VLOOKUP($A109,'Raw Data'!$A$2:$C$50,3,FALSE()),"Not in first 49 rows")</f>
        <v>Not in first 49 rows</v>
      </c>
    </row>
    <row r="110" spans="1:13" x14ac:dyDescent="0.3">
      <c r="A110" s="68" t="str">
        <f>'Raw Data'!A110</f>
        <v>EMP0109</v>
      </c>
      <c r="B110" s="17" t="str">
        <f>INDEX('Raw Data'!$B$2:$B$301, MATCH(A110,'Raw Data'!$A$2:$A$301,0))</f>
        <v>Meera Verma</v>
      </c>
      <c r="C110" s="17" t="str">
        <f>VLOOKUP($A110,'Raw Data'!$A$2:$C$301,3,FALSE)</f>
        <v>HR</v>
      </c>
      <c r="D110" s="17" t="str">
        <f>IF(ISBLANK('Raw Data'!F110),"Active","Resigned")</f>
        <v>Resigned</v>
      </c>
      <c r="E110" s="17">
        <f ca="1">DATEDIF('Raw Data'!E110,IF(ISBLANK('Raw Data'!F110),TODAY(),'Raw Data'!F110),"Y")</f>
        <v>1</v>
      </c>
      <c r="F110" s="17" t="str">
        <f>_xlfn.IFS('Raw Data'!D110&lt;30,"Under 30",'Raw Data'!D110&lt;=40,"30-40",'Raw Data'!D110&lt;=50,"41-50",TRUE(),"51+")</f>
        <v>Under 30</v>
      </c>
      <c r="G110" s="38">
        <f>'Raw Data'!G110*12</f>
        <v>591600</v>
      </c>
      <c r="H110" s="17" t="str">
        <f t="shared" si="3"/>
        <v>High</v>
      </c>
      <c r="I110" s="17">
        <f t="shared" si="4"/>
        <v>103</v>
      </c>
      <c r="J110" s="17" t="str">
        <f t="shared" si="5"/>
        <v>HR-EMP0109</v>
      </c>
      <c r="K110" s="39">
        <f ca="1">EOMONTH('Raw Data'!E110,12*(YEAR(TODAY())-YEAR('Raw Data'!E110))+3)</f>
        <v>46326</v>
      </c>
      <c r="L110" s="17" t="str">
        <f ca="1">IF(AND('Raw Data'!H110&gt;=4,D110="Active",E110&lt;2),"Watch","")</f>
        <v/>
      </c>
      <c r="M110" s="69" t="str">
        <f>IFERROR(VLOOKUP($A110,'Raw Data'!$A$2:$C$50,3,FALSE()),"Not in first 49 rows")</f>
        <v>Not in first 49 rows</v>
      </c>
    </row>
    <row r="111" spans="1:13" x14ac:dyDescent="0.3">
      <c r="A111" s="68" t="str">
        <f>'Raw Data'!A111</f>
        <v>EMP0110</v>
      </c>
      <c r="B111" s="17" t="str">
        <f>INDEX('Raw Data'!$B$2:$B$301, MATCH(A111,'Raw Data'!$A$2:$A$301,0))</f>
        <v>Pooja Sharma</v>
      </c>
      <c r="C111" s="17" t="str">
        <f>VLOOKUP($A111,'Raw Data'!$A$2:$C$301,3,FALSE)</f>
        <v>Operations</v>
      </c>
      <c r="D111" s="17" t="str">
        <f>IF(ISBLANK('Raw Data'!F111),"Active","Resigned")</f>
        <v>Active</v>
      </c>
      <c r="E111" s="17">
        <f ca="1">DATEDIF('Raw Data'!E111,IF(ISBLANK('Raw Data'!F111),TODAY(),'Raw Data'!F111),"Y")</f>
        <v>5</v>
      </c>
      <c r="F111" s="17" t="str">
        <f>_xlfn.IFS('Raw Data'!D111&lt;30,"Under 30",'Raw Data'!D111&lt;=40,"30-40",'Raw Data'!D111&lt;=50,"41-50",TRUE(),"51+")</f>
        <v>51+</v>
      </c>
      <c r="G111" s="38">
        <f>'Raw Data'!G111*12</f>
        <v>402000</v>
      </c>
      <c r="H111" s="17" t="str">
        <f t="shared" si="3"/>
        <v>Low</v>
      </c>
      <c r="I111" s="17">
        <f t="shared" si="4"/>
        <v>262</v>
      </c>
      <c r="J111" s="17" t="str">
        <f t="shared" si="5"/>
        <v>Ope-EMP0110</v>
      </c>
      <c r="K111" s="39">
        <f ca="1">EOMONTH('Raw Data'!E111,12*(YEAR(TODAY())-YEAR('Raw Data'!E111))+3)</f>
        <v>46203</v>
      </c>
      <c r="L111" s="17" t="str">
        <f ca="1">IF(AND('Raw Data'!H111&gt;=4,D111="Active",E111&lt;2),"Watch","")</f>
        <v/>
      </c>
      <c r="M111" s="69" t="str">
        <f>IFERROR(VLOOKUP($A111,'Raw Data'!$A$2:$C$50,3,FALSE()),"Not in first 49 rows")</f>
        <v>Not in first 49 rows</v>
      </c>
    </row>
    <row r="112" spans="1:13" x14ac:dyDescent="0.3">
      <c r="A112" s="68" t="str">
        <f>'Raw Data'!A112</f>
        <v>EMP0111</v>
      </c>
      <c r="B112" s="17" t="str">
        <f>INDEX('Raw Data'!$B$2:$B$301, MATCH(A112,'Raw Data'!$A$2:$A$301,0))</f>
        <v>Neha Malhotra</v>
      </c>
      <c r="C112" s="17" t="str">
        <f>VLOOKUP($A112,'Raw Data'!$A$2:$C$301,3,FALSE)</f>
        <v>Sales</v>
      </c>
      <c r="D112" s="17" t="str">
        <f>IF(ISBLANK('Raw Data'!F112),"Active","Resigned")</f>
        <v>Active</v>
      </c>
      <c r="E112" s="17">
        <f ca="1">DATEDIF('Raw Data'!E112,IF(ISBLANK('Raw Data'!F112),TODAY(),'Raw Data'!F112),"Y")</f>
        <v>7</v>
      </c>
      <c r="F112" s="17" t="str">
        <f>_xlfn.IFS('Raw Data'!D112&lt;30,"Under 30",'Raw Data'!D112&lt;=40,"30-40",'Raw Data'!D112&lt;=50,"41-50",TRUE(),"51+")</f>
        <v>30-40</v>
      </c>
      <c r="G112" s="38">
        <f>'Raw Data'!G112*12</f>
        <v>603600</v>
      </c>
      <c r="H112" s="17" t="str">
        <f t="shared" si="3"/>
        <v>High</v>
      </c>
      <c r="I112" s="17">
        <f t="shared" si="4"/>
        <v>91</v>
      </c>
      <c r="J112" s="17" t="str">
        <f t="shared" si="5"/>
        <v>Sal-EMP0111</v>
      </c>
      <c r="K112" s="39">
        <f ca="1">EOMONTH('Raw Data'!E112,12*(YEAR(TODAY())-YEAR('Raw Data'!E112))+3)</f>
        <v>46477</v>
      </c>
      <c r="L112" s="17" t="str">
        <f ca="1">IF(AND('Raw Data'!H112&gt;=4,D112="Active",E112&lt;2),"Watch","")</f>
        <v/>
      </c>
      <c r="M112" s="69" t="str">
        <f>IFERROR(VLOOKUP($A112,'Raw Data'!$A$2:$C$50,3,FALSE()),"Not in first 49 rows")</f>
        <v>Not in first 49 rows</v>
      </c>
    </row>
    <row r="113" spans="1:13" x14ac:dyDescent="0.3">
      <c r="A113" s="68" t="str">
        <f>'Raw Data'!A113</f>
        <v>EMP0112</v>
      </c>
      <c r="B113" s="17" t="str">
        <f>INDEX('Raw Data'!$B$2:$B$301, MATCH(A113,'Raw Data'!$A$2:$A$301,0))</f>
        <v>Neha Kumar</v>
      </c>
      <c r="C113" s="17" t="str">
        <f>VLOOKUP($A113,'Raw Data'!$A$2:$C$301,3,FALSE)</f>
        <v>Sales</v>
      </c>
      <c r="D113" s="17" t="str">
        <f>IF(ISBLANK('Raw Data'!F113),"Active","Resigned")</f>
        <v>Resigned</v>
      </c>
      <c r="E113" s="17">
        <f ca="1">DATEDIF('Raw Data'!E113,IF(ISBLANK('Raw Data'!F113),TODAY(),'Raw Data'!F113),"Y")</f>
        <v>1</v>
      </c>
      <c r="F113" s="17" t="str">
        <f>_xlfn.IFS('Raw Data'!D113&lt;30,"Under 30",'Raw Data'!D113&lt;=40,"30-40",'Raw Data'!D113&lt;=50,"41-50",TRUE(),"51+")</f>
        <v>30-40</v>
      </c>
      <c r="G113" s="38">
        <f>'Raw Data'!G113*12</f>
        <v>339600</v>
      </c>
      <c r="H113" s="17" t="str">
        <f t="shared" si="3"/>
        <v>Low</v>
      </c>
      <c r="I113" s="17">
        <f t="shared" si="4"/>
        <v>296</v>
      </c>
      <c r="J113" s="17" t="str">
        <f t="shared" si="5"/>
        <v>Sal-EMP0112</v>
      </c>
      <c r="K113" s="39">
        <f ca="1">EOMONTH('Raw Data'!E113,12*(YEAR(TODAY())-YEAR('Raw Data'!E113))+3)</f>
        <v>46477</v>
      </c>
      <c r="L113" s="17" t="str">
        <f ca="1">IF(AND('Raw Data'!H113&gt;=4,D113="Active",E113&lt;2),"Watch","")</f>
        <v/>
      </c>
      <c r="M113" s="69" t="str">
        <f>IFERROR(VLOOKUP($A113,'Raw Data'!$A$2:$C$50,3,FALSE()),"Not in first 49 rows")</f>
        <v>Not in first 49 rows</v>
      </c>
    </row>
    <row r="114" spans="1:13" x14ac:dyDescent="0.3">
      <c r="A114" s="68" t="str">
        <f>'Raw Data'!A114</f>
        <v>EMP0113</v>
      </c>
      <c r="B114" s="17" t="str">
        <f>INDEX('Raw Data'!$B$2:$B$301, MATCH(A114,'Raw Data'!$A$2:$A$301,0))</f>
        <v>Myra Kumar</v>
      </c>
      <c r="C114" s="17" t="str">
        <f>VLOOKUP($A114,'Raw Data'!$A$2:$C$301,3,FALSE)</f>
        <v>HR</v>
      </c>
      <c r="D114" s="17" t="str">
        <f>IF(ISBLANK('Raw Data'!F114),"Active","Resigned")</f>
        <v>Active</v>
      </c>
      <c r="E114" s="17">
        <f ca="1">DATEDIF('Raw Data'!E114,IF(ISBLANK('Raw Data'!F114),TODAY(),'Raw Data'!F114),"Y")</f>
        <v>3</v>
      </c>
      <c r="F114" s="17" t="str">
        <f>_xlfn.IFS('Raw Data'!D114&lt;30,"Under 30",'Raw Data'!D114&lt;=40,"30-40",'Raw Data'!D114&lt;=50,"41-50",TRUE(),"51+")</f>
        <v>Under 30</v>
      </c>
      <c r="G114" s="38">
        <f>'Raw Data'!G114*12</f>
        <v>456000</v>
      </c>
      <c r="H114" s="17" t="str">
        <f t="shared" si="3"/>
        <v>Mid</v>
      </c>
      <c r="I114" s="17">
        <f t="shared" si="4"/>
        <v>222</v>
      </c>
      <c r="J114" s="17" t="str">
        <f t="shared" si="5"/>
        <v>HR-EMP0113</v>
      </c>
      <c r="K114" s="39">
        <f ca="1">EOMONTH('Raw Data'!E114,12*(YEAR(TODAY())-YEAR('Raw Data'!E114))+3)</f>
        <v>46234</v>
      </c>
      <c r="L114" s="17" t="str">
        <f ca="1">IF(AND('Raw Data'!H114&gt;=4,D114="Active",E114&lt;2),"Watch","")</f>
        <v/>
      </c>
      <c r="M114" s="69" t="str">
        <f>IFERROR(VLOOKUP($A114,'Raw Data'!$A$2:$C$50,3,FALSE()),"Not in first 49 rows")</f>
        <v>Not in first 49 rows</v>
      </c>
    </row>
    <row r="115" spans="1:13" x14ac:dyDescent="0.3">
      <c r="A115" s="68" t="str">
        <f>'Raw Data'!A115</f>
        <v>EMP0114</v>
      </c>
      <c r="B115" s="17" t="str">
        <f>INDEX('Raw Data'!$B$2:$B$301, MATCH(A115,'Raw Data'!$A$2:$A$301,0))</f>
        <v>Pooja Iyer</v>
      </c>
      <c r="C115" s="17" t="str">
        <f>VLOOKUP($A115,'Raw Data'!$A$2:$C$301,3,FALSE)</f>
        <v>HR</v>
      </c>
      <c r="D115" s="17" t="str">
        <f>IF(ISBLANK('Raw Data'!F115),"Active","Resigned")</f>
        <v>Resigned</v>
      </c>
      <c r="E115" s="17">
        <f ca="1">DATEDIF('Raw Data'!E115,IF(ISBLANK('Raw Data'!F115),TODAY(),'Raw Data'!F115),"Y")</f>
        <v>3</v>
      </c>
      <c r="F115" s="17" t="str">
        <f>_xlfn.IFS('Raw Data'!D115&lt;30,"Under 30",'Raw Data'!D115&lt;=40,"30-40",'Raw Data'!D115&lt;=50,"41-50",TRUE(),"51+")</f>
        <v>51+</v>
      </c>
      <c r="G115" s="38">
        <f>'Raw Data'!G115*12</f>
        <v>354000</v>
      </c>
      <c r="H115" s="17" t="str">
        <f t="shared" si="3"/>
        <v>Low</v>
      </c>
      <c r="I115" s="17">
        <f t="shared" si="4"/>
        <v>292</v>
      </c>
      <c r="J115" s="17" t="str">
        <f t="shared" si="5"/>
        <v>HR-EMP0114</v>
      </c>
      <c r="K115" s="39">
        <f ca="1">EOMONTH('Raw Data'!E115,12*(YEAR(TODAY())-YEAR('Raw Data'!E115))+3)</f>
        <v>46234</v>
      </c>
      <c r="L115" s="17" t="str">
        <f ca="1">IF(AND('Raw Data'!H115&gt;=4,D115="Active",E115&lt;2),"Watch","")</f>
        <v/>
      </c>
      <c r="M115" s="69" t="str">
        <f>IFERROR(VLOOKUP($A115,'Raw Data'!$A$2:$C$50,3,FALSE()),"Not in first 49 rows")</f>
        <v>Not in first 49 rows</v>
      </c>
    </row>
    <row r="116" spans="1:13" x14ac:dyDescent="0.3">
      <c r="A116" s="68" t="str">
        <f>'Raw Data'!A116</f>
        <v>EMP0115</v>
      </c>
      <c r="B116" s="17" t="str">
        <f>INDEX('Raw Data'!$B$2:$B$301, MATCH(A116,'Raw Data'!$A$2:$A$301,0))</f>
        <v>Swati Bhat</v>
      </c>
      <c r="C116" s="17" t="str">
        <f>VLOOKUP($A116,'Raw Data'!$A$2:$C$301,3,FALSE)</f>
        <v>Operations</v>
      </c>
      <c r="D116" s="17" t="str">
        <f>IF(ISBLANK('Raw Data'!F116),"Active","Resigned")</f>
        <v>Resigned</v>
      </c>
      <c r="E116" s="17">
        <f ca="1">DATEDIF('Raw Data'!E116,IF(ISBLANK('Raw Data'!F116),TODAY(),'Raw Data'!F116),"Y")</f>
        <v>9</v>
      </c>
      <c r="F116" s="17" t="str">
        <f>_xlfn.IFS('Raw Data'!D116&lt;30,"Under 30",'Raw Data'!D116&lt;=40,"30-40",'Raw Data'!D116&lt;=50,"41-50",TRUE(),"51+")</f>
        <v>30-40</v>
      </c>
      <c r="G116" s="38">
        <f>'Raw Data'!G116*12</f>
        <v>594000</v>
      </c>
      <c r="H116" s="17" t="str">
        <f t="shared" si="3"/>
        <v>High</v>
      </c>
      <c r="I116" s="17">
        <f t="shared" si="4"/>
        <v>98</v>
      </c>
      <c r="J116" s="17" t="str">
        <f t="shared" si="5"/>
        <v>Ope-EMP0115</v>
      </c>
      <c r="K116" s="39">
        <f ca="1">EOMONTH('Raw Data'!E116,12*(YEAR(TODAY())-YEAR('Raw Data'!E116))+3)</f>
        <v>46418</v>
      </c>
      <c r="L116" s="17" t="str">
        <f ca="1">IF(AND('Raw Data'!H116&gt;=4,D116="Active",E116&lt;2),"Watch","")</f>
        <v/>
      </c>
      <c r="M116" s="69" t="str">
        <f>IFERROR(VLOOKUP($A116,'Raw Data'!$A$2:$C$50,3,FALSE()),"Not in first 49 rows")</f>
        <v>Not in first 49 rows</v>
      </c>
    </row>
    <row r="117" spans="1:13" x14ac:dyDescent="0.3">
      <c r="A117" s="68" t="str">
        <f>'Raw Data'!A117</f>
        <v>EMP0116</v>
      </c>
      <c r="B117" s="17" t="str">
        <f>INDEX('Raw Data'!$B$2:$B$301, MATCH(A117,'Raw Data'!$A$2:$A$301,0))</f>
        <v>Pooja Iyer</v>
      </c>
      <c r="C117" s="17" t="str">
        <f>VLOOKUP($A117,'Raw Data'!$A$2:$C$301,3,FALSE)</f>
        <v>Sales</v>
      </c>
      <c r="D117" s="17" t="str">
        <f>IF(ISBLANK('Raw Data'!F117),"Active","Resigned")</f>
        <v>Active</v>
      </c>
      <c r="E117" s="17">
        <f ca="1">DATEDIF('Raw Data'!E117,IF(ISBLANK('Raw Data'!F117),TODAY(),'Raw Data'!F117),"Y")</f>
        <v>2</v>
      </c>
      <c r="F117" s="17" t="str">
        <f>_xlfn.IFS('Raw Data'!D117&lt;30,"Under 30",'Raw Data'!D117&lt;=40,"30-40",'Raw Data'!D117&lt;=50,"41-50",TRUE(),"51+")</f>
        <v>30-40</v>
      </c>
      <c r="G117" s="38">
        <f>'Raw Data'!G117*12</f>
        <v>505200</v>
      </c>
      <c r="H117" s="17" t="str">
        <f t="shared" si="3"/>
        <v>Mid</v>
      </c>
      <c r="I117" s="17">
        <f t="shared" si="4"/>
        <v>181</v>
      </c>
      <c r="J117" s="17" t="str">
        <f t="shared" si="5"/>
        <v>Sal-EMP0116</v>
      </c>
      <c r="K117" s="39">
        <f ca="1">EOMONTH('Raw Data'!E117,12*(YEAR(TODAY())-YEAR('Raw Data'!E117))+3)</f>
        <v>46173</v>
      </c>
      <c r="L117" s="17" t="str">
        <f ca="1">IF(AND('Raw Data'!H117&gt;=4,D117="Active",E117&lt;2),"Watch","")</f>
        <v/>
      </c>
      <c r="M117" s="69" t="str">
        <f>IFERROR(VLOOKUP($A117,'Raw Data'!$A$2:$C$50,3,FALSE()),"Not in first 49 rows")</f>
        <v>Not in first 49 rows</v>
      </c>
    </row>
    <row r="118" spans="1:13" x14ac:dyDescent="0.3">
      <c r="A118" s="68" t="str">
        <f>'Raw Data'!A118</f>
        <v>EMP0117</v>
      </c>
      <c r="B118" s="17" t="str">
        <f>INDEX('Raw Data'!$B$2:$B$301, MATCH(A118,'Raw Data'!$A$2:$A$301,0))</f>
        <v>Neha Singh</v>
      </c>
      <c r="C118" s="17" t="str">
        <f>VLOOKUP($A118,'Raw Data'!$A$2:$C$301,3,FALSE)</f>
        <v>HR</v>
      </c>
      <c r="D118" s="17" t="str">
        <f>IF(ISBLANK('Raw Data'!F118),"Active","Resigned")</f>
        <v>Active</v>
      </c>
      <c r="E118" s="17">
        <f ca="1">DATEDIF('Raw Data'!E118,IF(ISBLANK('Raw Data'!F118),TODAY(),'Raw Data'!F118),"Y")</f>
        <v>5</v>
      </c>
      <c r="F118" s="17" t="str">
        <f>_xlfn.IFS('Raw Data'!D118&lt;30,"Under 30",'Raw Data'!D118&lt;=40,"30-40",'Raw Data'!D118&lt;=50,"41-50",TRUE(),"51+")</f>
        <v>51+</v>
      </c>
      <c r="G118" s="38">
        <f>'Raw Data'!G118*12</f>
        <v>470400</v>
      </c>
      <c r="H118" s="17" t="str">
        <f t="shared" si="3"/>
        <v>Mid</v>
      </c>
      <c r="I118" s="17">
        <f t="shared" si="4"/>
        <v>209</v>
      </c>
      <c r="J118" s="17" t="str">
        <f t="shared" si="5"/>
        <v>HR-EMP0117</v>
      </c>
      <c r="K118" s="39">
        <f ca="1">EOMONTH('Raw Data'!E118,12*(YEAR(TODAY())-YEAR('Raw Data'!E118))+3)</f>
        <v>46295</v>
      </c>
      <c r="L118" s="17" t="str">
        <f ca="1">IF(AND('Raw Data'!H118&gt;=4,D118="Active",E118&lt;2),"Watch","")</f>
        <v/>
      </c>
      <c r="M118" s="69" t="str">
        <f>IFERROR(VLOOKUP($A118,'Raw Data'!$A$2:$C$50,3,FALSE()),"Not in first 49 rows")</f>
        <v>Not in first 49 rows</v>
      </c>
    </row>
    <row r="119" spans="1:13" x14ac:dyDescent="0.3">
      <c r="A119" s="68" t="str">
        <f>'Raw Data'!A119</f>
        <v>EMP0118</v>
      </c>
      <c r="B119" s="17" t="str">
        <f>INDEX('Raw Data'!$B$2:$B$301, MATCH(A119,'Raw Data'!$A$2:$A$301,0))</f>
        <v>Rajesh Mehta</v>
      </c>
      <c r="C119" s="17" t="str">
        <f>VLOOKUP($A119,'Raw Data'!$A$2:$C$301,3,FALSE)</f>
        <v>Marketing</v>
      </c>
      <c r="D119" s="17" t="str">
        <f>IF(ISBLANK('Raw Data'!F119),"Active","Resigned")</f>
        <v>Active</v>
      </c>
      <c r="E119" s="17">
        <f ca="1">DATEDIF('Raw Data'!E119,IF(ISBLANK('Raw Data'!F119),TODAY(),'Raw Data'!F119),"Y")</f>
        <v>4</v>
      </c>
      <c r="F119" s="17" t="str">
        <f>_xlfn.IFS('Raw Data'!D119&lt;30,"Under 30",'Raw Data'!D119&lt;=40,"30-40",'Raw Data'!D119&lt;=50,"41-50",TRUE(),"51+")</f>
        <v>30-40</v>
      </c>
      <c r="G119" s="38">
        <f>'Raw Data'!G119*12</f>
        <v>606000</v>
      </c>
      <c r="H119" s="17" t="str">
        <f t="shared" si="3"/>
        <v>High</v>
      </c>
      <c r="I119" s="17">
        <f t="shared" si="4"/>
        <v>88</v>
      </c>
      <c r="J119" s="17" t="str">
        <f t="shared" si="5"/>
        <v>Mar-EMP0118</v>
      </c>
      <c r="K119" s="39">
        <f ca="1">EOMONTH('Raw Data'!E119,12*(YEAR(TODAY())-YEAR('Raw Data'!E119))+3)</f>
        <v>46265</v>
      </c>
      <c r="L119" s="17" t="str">
        <f ca="1">IF(AND('Raw Data'!H119&gt;=4,D119="Active",E119&lt;2),"Watch","")</f>
        <v/>
      </c>
      <c r="M119" s="69" t="str">
        <f>IFERROR(VLOOKUP($A119,'Raw Data'!$A$2:$C$50,3,FALSE()),"Not in first 49 rows")</f>
        <v>Not in first 49 rows</v>
      </c>
    </row>
    <row r="120" spans="1:13" x14ac:dyDescent="0.3">
      <c r="A120" s="68" t="str">
        <f>'Raw Data'!A120</f>
        <v>EMP0119</v>
      </c>
      <c r="B120" s="17" t="str">
        <f>INDEX('Raw Data'!$B$2:$B$301, MATCH(A120,'Raw Data'!$A$2:$A$301,0))</f>
        <v>Rahul Chopra</v>
      </c>
      <c r="C120" s="17" t="str">
        <f>VLOOKUP($A120,'Raw Data'!$A$2:$C$301,3,FALSE)</f>
        <v>Operations</v>
      </c>
      <c r="D120" s="17" t="str">
        <f>IF(ISBLANK('Raw Data'!F120),"Active","Resigned")</f>
        <v>Active</v>
      </c>
      <c r="E120" s="17">
        <f ca="1">DATEDIF('Raw Data'!E120,IF(ISBLANK('Raw Data'!F120),TODAY(),'Raw Data'!F120),"Y")</f>
        <v>6</v>
      </c>
      <c r="F120" s="17" t="str">
        <f>_xlfn.IFS('Raw Data'!D120&lt;30,"Under 30",'Raw Data'!D120&lt;=40,"30-40",'Raw Data'!D120&lt;=50,"41-50",TRUE(),"51+")</f>
        <v>41-50</v>
      </c>
      <c r="G120" s="38">
        <f>'Raw Data'!G120*12</f>
        <v>576000</v>
      </c>
      <c r="H120" s="17" t="str">
        <f t="shared" si="3"/>
        <v>High</v>
      </c>
      <c r="I120" s="17">
        <f t="shared" si="4"/>
        <v>113</v>
      </c>
      <c r="J120" s="17" t="str">
        <f t="shared" si="5"/>
        <v>Ope-EMP0119</v>
      </c>
      <c r="K120" s="39">
        <f ca="1">EOMONTH('Raw Data'!E120,12*(YEAR(TODAY())-YEAR('Raw Data'!E120))+3)</f>
        <v>46234</v>
      </c>
      <c r="L120" s="17" t="str">
        <f ca="1">IF(AND('Raw Data'!H120&gt;=4,D120="Active",E120&lt;2),"Watch","")</f>
        <v/>
      </c>
      <c r="M120" s="69" t="str">
        <f>IFERROR(VLOOKUP($A120,'Raw Data'!$A$2:$C$50,3,FALSE()),"Not in first 49 rows")</f>
        <v>Not in first 49 rows</v>
      </c>
    </row>
    <row r="121" spans="1:13" x14ac:dyDescent="0.3">
      <c r="A121" s="68" t="str">
        <f>'Raw Data'!A121</f>
        <v>EMP0120</v>
      </c>
      <c r="B121" s="17" t="str">
        <f>INDEX('Raw Data'!$B$2:$B$301, MATCH(A121,'Raw Data'!$A$2:$A$301,0))</f>
        <v>Karan Chopra</v>
      </c>
      <c r="C121" s="17" t="str">
        <f>VLOOKUP($A121,'Raw Data'!$A$2:$C$301,3,FALSE)</f>
        <v>Sales</v>
      </c>
      <c r="D121" s="17" t="str">
        <f>IF(ISBLANK('Raw Data'!F121),"Active","Resigned")</f>
        <v>Active</v>
      </c>
      <c r="E121" s="17">
        <f ca="1">DATEDIF('Raw Data'!E121,IF(ISBLANK('Raw Data'!F121),TODAY(),'Raw Data'!F121),"Y")</f>
        <v>4</v>
      </c>
      <c r="F121" s="17" t="str">
        <f>_xlfn.IFS('Raw Data'!D121&lt;30,"Under 30",'Raw Data'!D121&lt;=40,"30-40",'Raw Data'!D121&lt;=50,"41-50",TRUE(),"51+")</f>
        <v>30-40</v>
      </c>
      <c r="G121" s="38">
        <f>'Raw Data'!G121*12</f>
        <v>432000</v>
      </c>
      <c r="H121" s="17" t="str">
        <f t="shared" si="3"/>
        <v>Mid</v>
      </c>
      <c r="I121" s="17">
        <f t="shared" si="4"/>
        <v>240</v>
      </c>
      <c r="J121" s="17" t="str">
        <f t="shared" si="5"/>
        <v>Sal-EMP0120</v>
      </c>
      <c r="K121" s="39">
        <f ca="1">EOMONTH('Raw Data'!E121,12*(YEAR(TODAY())-YEAR('Raw Data'!E121))+3)</f>
        <v>46356</v>
      </c>
      <c r="L121" s="17" t="str">
        <f ca="1">IF(AND('Raw Data'!H121&gt;=4,D121="Active",E121&lt;2),"Watch","")</f>
        <v/>
      </c>
      <c r="M121" s="69" t="str">
        <f>IFERROR(VLOOKUP($A121,'Raw Data'!$A$2:$C$50,3,FALSE()),"Not in first 49 rows")</f>
        <v>Not in first 49 rows</v>
      </c>
    </row>
    <row r="122" spans="1:13" x14ac:dyDescent="0.3">
      <c r="A122" s="68" t="str">
        <f>'Raw Data'!A122</f>
        <v>EMP0121</v>
      </c>
      <c r="B122" s="17" t="str">
        <f>INDEX('Raw Data'!$B$2:$B$301, MATCH(A122,'Raw Data'!$A$2:$A$301,0))</f>
        <v>Deepak Kumar</v>
      </c>
      <c r="C122" s="17" t="str">
        <f>VLOOKUP($A122,'Raw Data'!$A$2:$C$301,3,FALSE)</f>
        <v>IT</v>
      </c>
      <c r="D122" s="17" t="str">
        <f>IF(ISBLANK('Raw Data'!F122),"Active","Resigned")</f>
        <v>Active</v>
      </c>
      <c r="E122" s="17">
        <f ca="1">DATEDIF('Raw Data'!E122,IF(ISBLANK('Raw Data'!F122),TODAY(),'Raw Data'!F122),"Y")</f>
        <v>10</v>
      </c>
      <c r="F122" s="17" t="str">
        <f>_xlfn.IFS('Raw Data'!D122&lt;30,"Under 30",'Raw Data'!D122&lt;=40,"30-40",'Raw Data'!D122&lt;=50,"41-50",TRUE(),"51+")</f>
        <v>51+</v>
      </c>
      <c r="G122" s="38">
        <f>'Raw Data'!G122*12</f>
        <v>645600</v>
      </c>
      <c r="H122" s="17" t="str">
        <f t="shared" si="3"/>
        <v>High</v>
      </c>
      <c r="I122" s="17">
        <f t="shared" si="4"/>
        <v>51</v>
      </c>
      <c r="J122" s="17" t="str">
        <f t="shared" si="5"/>
        <v>IT-EMP0121</v>
      </c>
      <c r="K122" s="39">
        <f ca="1">EOMONTH('Raw Data'!E122,12*(YEAR(TODAY())-YEAR('Raw Data'!E122))+3)</f>
        <v>46203</v>
      </c>
      <c r="L122" s="17" t="str">
        <f ca="1">IF(AND('Raw Data'!H122&gt;=4,D122="Active",E122&lt;2),"Watch","")</f>
        <v/>
      </c>
      <c r="M122" s="69" t="str">
        <f>IFERROR(VLOOKUP($A122,'Raw Data'!$A$2:$C$50,3,FALSE()),"Not in first 49 rows")</f>
        <v>Not in first 49 rows</v>
      </c>
    </row>
    <row r="123" spans="1:13" x14ac:dyDescent="0.3">
      <c r="A123" s="68" t="str">
        <f>'Raw Data'!A123</f>
        <v>EMP0122</v>
      </c>
      <c r="B123" s="17" t="str">
        <f>INDEX('Raw Data'!$B$2:$B$301, MATCH(A123,'Raw Data'!$A$2:$A$301,0))</f>
        <v>Karan Gupta</v>
      </c>
      <c r="C123" s="17" t="str">
        <f>VLOOKUP($A123,'Raw Data'!$A$2:$C$301,3,FALSE)</f>
        <v>HR</v>
      </c>
      <c r="D123" s="17" t="str">
        <f>IF(ISBLANK('Raw Data'!F123),"Active","Resigned")</f>
        <v>Active</v>
      </c>
      <c r="E123" s="17">
        <f ca="1">DATEDIF('Raw Data'!E123,IF(ISBLANK('Raw Data'!F123),TODAY(),'Raw Data'!F123),"Y")</f>
        <v>6</v>
      </c>
      <c r="F123" s="17" t="str">
        <f>_xlfn.IFS('Raw Data'!D123&lt;30,"Under 30",'Raw Data'!D123&lt;=40,"30-40",'Raw Data'!D123&lt;=50,"41-50",TRUE(),"51+")</f>
        <v>30-40</v>
      </c>
      <c r="G123" s="38">
        <f>'Raw Data'!G123*12</f>
        <v>426000</v>
      </c>
      <c r="H123" s="17" t="str">
        <f t="shared" si="3"/>
        <v>Mid</v>
      </c>
      <c r="I123" s="17">
        <f t="shared" si="4"/>
        <v>245</v>
      </c>
      <c r="J123" s="17" t="str">
        <f t="shared" si="5"/>
        <v>HR-EMP0122</v>
      </c>
      <c r="K123" s="39">
        <f ca="1">EOMONTH('Raw Data'!E123,12*(YEAR(TODAY())-YEAR('Raw Data'!E123))+3)</f>
        <v>46418</v>
      </c>
      <c r="L123" s="17" t="str">
        <f ca="1">IF(AND('Raw Data'!H123&gt;=4,D123="Active",E123&lt;2),"Watch","")</f>
        <v/>
      </c>
      <c r="M123" s="69" t="str">
        <f>IFERROR(VLOOKUP($A123,'Raw Data'!$A$2:$C$50,3,FALSE()),"Not in first 49 rows")</f>
        <v>Not in first 49 rows</v>
      </c>
    </row>
    <row r="124" spans="1:13" x14ac:dyDescent="0.3">
      <c r="A124" s="68" t="str">
        <f>'Raw Data'!A124</f>
        <v>EMP0123</v>
      </c>
      <c r="B124" s="17" t="str">
        <f>INDEX('Raw Data'!$B$2:$B$301, MATCH(A124,'Raw Data'!$A$2:$A$301,0))</f>
        <v>Amit Pillai</v>
      </c>
      <c r="C124" s="17" t="str">
        <f>VLOOKUP($A124,'Raw Data'!$A$2:$C$301,3,FALSE)</f>
        <v>HR</v>
      </c>
      <c r="D124" s="17" t="str">
        <f>IF(ISBLANK('Raw Data'!F124),"Active","Resigned")</f>
        <v>Active</v>
      </c>
      <c r="E124" s="17">
        <f ca="1">DATEDIF('Raw Data'!E124,IF(ISBLANK('Raw Data'!F124),TODAY(),'Raw Data'!F124),"Y")</f>
        <v>3</v>
      </c>
      <c r="F124" s="17" t="str">
        <f>_xlfn.IFS('Raw Data'!D124&lt;30,"Under 30",'Raw Data'!D124&lt;=40,"30-40",'Raw Data'!D124&lt;=50,"41-50",TRUE(),"51+")</f>
        <v>41-50</v>
      </c>
      <c r="G124" s="38">
        <f>'Raw Data'!G124*12</f>
        <v>530400</v>
      </c>
      <c r="H124" s="17" t="str">
        <f t="shared" si="3"/>
        <v>Mid</v>
      </c>
      <c r="I124" s="17">
        <f t="shared" si="4"/>
        <v>165</v>
      </c>
      <c r="J124" s="17" t="str">
        <f t="shared" si="5"/>
        <v>HR-EMP0123</v>
      </c>
      <c r="K124" s="39">
        <f ca="1">EOMONTH('Raw Data'!E124,12*(YEAR(TODAY())-YEAR('Raw Data'!E124))+3)</f>
        <v>46142</v>
      </c>
      <c r="L124" s="17" t="str">
        <f ca="1">IF(AND('Raw Data'!H124&gt;=4,D124="Active",E124&lt;2),"Watch","")</f>
        <v/>
      </c>
      <c r="M124" s="69" t="str">
        <f>IFERROR(VLOOKUP($A124,'Raw Data'!$A$2:$C$50,3,FALSE()),"Not in first 49 rows")</f>
        <v>Not in first 49 rows</v>
      </c>
    </row>
    <row r="125" spans="1:13" x14ac:dyDescent="0.3">
      <c r="A125" s="68" t="str">
        <f>'Raw Data'!A125</f>
        <v>EMP0124</v>
      </c>
      <c r="B125" s="17" t="str">
        <f>INDEX('Raw Data'!$B$2:$B$301, MATCH(A125,'Raw Data'!$A$2:$A$301,0))</f>
        <v>Aditya Agarwal</v>
      </c>
      <c r="C125" s="17" t="str">
        <f>VLOOKUP($A125,'Raw Data'!$A$2:$C$301,3,FALSE)</f>
        <v>Sales</v>
      </c>
      <c r="D125" s="17" t="str">
        <f>IF(ISBLANK('Raw Data'!F125),"Active","Resigned")</f>
        <v>Active</v>
      </c>
      <c r="E125" s="17">
        <f ca="1">DATEDIF('Raw Data'!E125,IF(ISBLANK('Raw Data'!F125),TODAY(),'Raw Data'!F125),"Y")</f>
        <v>3</v>
      </c>
      <c r="F125" s="17" t="str">
        <f>_xlfn.IFS('Raw Data'!D125&lt;30,"Under 30",'Raw Data'!D125&lt;=40,"30-40",'Raw Data'!D125&lt;=50,"41-50",TRUE(),"51+")</f>
        <v>30-40</v>
      </c>
      <c r="G125" s="38">
        <f>'Raw Data'!G125*12</f>
        <v>418800</v>
      </c>
      <c r="H125" s="17" t="str">
        <f t="shared" si="3"/>
        <v>Low</v>
      </c>
      <c r="I125" s="17">
        <f t="shared" si="4"/>
        <v>253</v>
      </c>
      <c r="J125" s="17" t="str">
        <f t="shared" si="5"/>
        <v>Sal-EMP0124</v>
      </c>
      <c r="K125" s="39">
        <f ca="1">EOMONTH('Raw Data'!E125,12*(YEAR(TODAY())-YEAR('Raw Data'!E125))+3)</f>
        <v>46142</v>
      </c>
      <c r="L125" s="17" t="str">
        <f ca="1">IF(AND('Raw Data'!H125&gt;=4,D125="Active",E125&lt;2),"Watch","")</f>
        <v/>
      </c>
      <c r="M125" s="69" t="str">
        <f>IFERROR(VLOOKUP($A125,'Raw Data'!$A$2:$C$50,3,FALSE()),"Not in first 49 rows")</f>
        <v>Not in first 49 rows</v>
      </c>
    </row>
    <row r="126" spans="1:13" x14ac:dyDescent="0.3">
      <c r="A126" s="68" t="str">
        <f>'Raw Data'!A126</f>
        <v>EMP0125</v>
      </c>
      <c r="B126" s="17" t="str">
        <f>INDEX('Raw Data'!$B$2:$B$301, MATCH(A126,'Raw Data'!$A$2:$A$301,0))</f>
        <v>Reyansh Kapoor</v>
      </c>
      <c r="C126" s="17" t="str">
        <f>VLOOKUP($A126,'Raw Data'!$A$2:$C$301,3,FALSE)</f>
        <v>Sales</v>
      </c>
      <c r="D126" s="17" t="str">
        <f>IF(ISBLANK('Raw Data'!F126),"Active","Resigned")</f>
        <v>Resigned</v>
      </c>
      <c r="E126" s="17">
        <f ca="1">DATEDIF('Raw Data'!E126,IF(ISBLANK('Raw Data'!F126),TODAY(),'Raw Data'!F126),"Y")</f>
        <v>1</v>
      </c>
      <c r="F126" s="17" t="str">
        <f>_xlfn.IFS('Raw Data'!D126&lt;30,"Under 30",'Raw Data'!D126&lt;=40,"30-40",'Raw Data'!D126&lt;=50,"41-50",TRUE(),"51+")</f>
        <v>Under 30</v>
      </c>
      <c r="G126" s="38">
        <f>'Raw Data'!G126*12</f>
        <v>596400</v>
      </c>
      <c r="H126" s="17" t="str">
        <f t="shared" si="3"/>
        <v>High</v>
      </c>
      <c r="I126" s="17">
        <f t="shared" si="4"/>
        <v>95</v>
      </c>
      <c r="J126" s="17" t="str">
        <f t="shared" si="5"/>
        <v>Sal-EMP0125</v>
      </c>
      <c r="K126" s="39">
        <f ca="1">EOMONTH('Raw Data'!E126,12*(YEAR(TODAY())-YEAR('Raw Data'!E126))+3)</f>
        <v>46477</v>
      </c>
      <c r="L126" s="17" t="str">
        <f ca="1">IF(AND('Raw Data'!H126&gt;=4,D126="Active",E126&lt;2),"Watch","")</f>
        <v/>
      </c>
      <c r="M126" s="69" t="str">
        <f>IFERROR(VLOOKUP($A126,'Raw Data'!$A$2:$C$50,3,FALSE()),"Not in first 49 rows")</f>
        <v>Not in first 49 rows</v>
      </c>
    </row>
    <row r="127" spans="1:13" x14ac:dyDescent="0.3">
      <c r="A127" s="68" t="str">
        <f>'Raw Data'!A127</f>
        <v>EMP0126</v>
      </c>
      <c r="B127" s="17" t="str">
        <f>INDEX('Raw Data'!$B$2:$B$301, MATCH(A127,'Raw Data'!$A$2:$A$301,0))</f>
        <v>Vihaan Rao</v>
      </c>
      <c r="C127" s="17" t="str">
        <f>VLOOKUP($A127,'Raw Data'!$A$2:$C$301,3,FALSE)</f>
        <v>Finance</v>
      </c>
      <c r="D127" s="17" t="str">
        <f>IF(ISBLANK('Raw Data'!F127),"Active","Resigned")</f>
        <v>Resigned</v>
      </c>
      <c r="E127" s="17">
        <f ca="1">DATEDIF('Raw Data'!E127,IF(ISBLANK('Raw Data'!F127),TODAY(),'Raw Data'!F127),"Y")</f>
        <v>3</v>
      </c>
      <c r="F127" s="17" t="str">
        <f>_xlfn.IFS('Raw Data'!D127&lt;30,"Under 30",'Raw Data'!D127&lt;=40,"30-40",'Raw Data'!D127&lt;=50,"41-50",TRUE(),"51+")</f>
        <v>41-50</v>
      </c>
      <c r="G127" s="38">
        <f>'Raw Data'!G127*12</f>
        <v>610800</v>
      </c>
      <c r="H127" s="17" t="str">
        <f t="shared" si="3"/>
        <v>High</v>
      </c>
      <c r="I127" s="17">
        <f t="shared" si="4"/>
        <v>79</v>
      </c>
      <c r="J127" s="17" t="str">
        <f t="shared" si="5"/>
        <v>Fin-EMP0126</v>
      </c>
      <c r="K127" s="39">
        <f ca="1">EOMONTH('Raw Data'!E127,12*(YEAR(TODAY())-YEAR('Raw Data'!E127))+3)</f>
        <v>46418</v>
      </c>
      <c r="L127" s="17" t="str">
        <f ca="1">IF(AND('Raw Data'!H127&gt;=4,D127="Active",E127&lt;2),"Watch","")</f>
        <v/>
      </c>
      <c r="M127" s="69" t="str">
        <f>IFERROR(VLOOKUP($A127,'Raw Data'!$A$2:$C$50,3,FALSE()),"Not in first 49 rows")</f>
        <v>Not in first 49 rows</v>
      </c>
    </row>
    <row r="128" spans="1:13" x14ac:dyDescent="0.3">
      <c r="A128" s="68" t="str">
        <f>'Raw Data'!A128</f>
        <v>EMP0127</v>
      </c>
      <c r="B128" s="17" t="str">
        <f>INDEX('Raw Data'!$B$2:$B$301, MATCH(A128,'Raw Data'!$A$2:$A$301,0))</f>
        <v>Diya Patel</v>
      </c>
      <c r="C128" s="17" t="str">
        <f>VLOOKUP($A128,'Raw Data'!$A$2:$C$301,3,FALSE)</f>
        <v>Marketing</v>
      </c>
      <c r="D128" s="17" t="str">
        <f>IF(ISBLANK('Raw Data'!F128),"Active","Resigned")</f>
        <v>Active</v>
      </c>
      <c r="E128" s="17">
        <f ca="1">DATEDIF('Raw Data'!E128,IF(ISBLANK('Raw Data'!F128),TODAY(),'Raw Data'!F128),"Y")</f>
        <v>3</v>
      </c>
      <c r="F128" s="17" t="str">
        <f>_xlfn.IFS('Raw Data'!D128&lt;30,"Under 30",'Raw Data'!D128&lt;=40,"30-40",'Raw Data'!D128&lt;=50,"41-50",TRUE(),"51+")</f>
        <v>Under 30</v>
      </c>
      <c r="G128" s="38">
        <f>'Raw Data'!G128*12</f>
        <v>538800</v>
      </c>
      <c r="H128" s="17" t="str">
        <f t="shared" si="3"/>
        <v>Mid</v>
      </c>
      <c r="I128" s="17">
        <f t="shared" si="4"/>
        <v>154</v>
      </c>
      <c r="J128" s="17" t="str">
        <f t="shared" si="5"/>
        <v>Mar-EMP0127</v>
      </c>
      <c r="K128" s="39">
        <f ca="1">EOMONTH('Raw Data'!E128,12*(YEAR(TODAY())-YEAR('Raw Data'!E128))+3)</f>
        <v>46446</v>
      </c>
      <c r="L128" s="17" t="str">
        <f ca="1">IF(AND('Raw Data'!H128&gt;=4,D128="Active",E128&lt;2),"Watch","")</f>
        <v/>
      </c>
      <c r="M128" s="69" t="str">
        <f>IFERROR(VLOOKUP($A128,'Raw Data'!$A$2:$C$50,3,FALSE()),"Not in first 49 rows")</f>
        <v>Not in first 49 rows</v>
      </c>
    </row>
    <row r="129" spans="1:13" x14ac:dyDescent="0.3">
      <c r="A129" s="68" t="str">
        <f>'Raw Data'!A129</f>
        <v>EMP0128</v>
      </c>
      <c r="B129" s="17" t="str">
        <f>INDEX('Raw Data'!$B$2:$B$301, MATCH(A129,'Raw Data'!$A$2:$A$301,0))</f>
        <v>Shreya Singh</v>
      </c>
      <c r="C129" s="17" t="str">
        <f>VLOOKUP($A129,'Raw Data'!$A$2:$C$301,3,FALSE)</f>
        <v>Marketing</v>
      </c>
      <c r="D129" s="17" t="str">
        <f>IF(ISBLANK('Raw Data'!F129),"Active","Resigned")</f>
        <v>Resigned</v>
      </c>
      <c r="E129" s="17">
        <f ca="1">DATEDIF('Raw Data'!E129,IF(ISBLANK('Raw Data'!F129),TODAY(),'Raw Data'!F129),"Y")</f>
        <v>1</v>
      </c>
      <c r="F129" s="17" t="str">
        <f>_xlfn.IFS('Raw Data'!D129&lt;30,"Under 30",'Raw Data'!D129&lt;=40,"30-40",'Raw Data'!D129&lt;=50,"41-50",TRUE(),"51+")</f>
        <v>51+</v>
      </c>
      <c r="G129" s="38">
        <f>'Raw Data'!G129*12</f>
        <v>552000</v>
      </c>
      <c r="H129" s="17" t="str">
        <f t="shared" si="3"/>
        <v>High</v>
      </c>
      <c r="I129" s="17">
        <f t="shared" si="4"/>
        <v>134</v>
      </c>
      <c r="J129" s="17" t="str">
        <f t="shared" si="5"/>
        <v>Mar-EMP0128</v>
      </c>
      <c r="K129" s="39">
        <f ca="1">EOMONTH('Raw Data'!E129,12*(YEAR(TODAY())-YEAR('Raw Data'!E129))+3)</f>
        <v>46173</v>
      </c>
      <c r="L129" s="17" t="str">
        <f ca="1">IF(AND('Raw Data'!H129&gt;=4,D129="Active",E129&lt;2),"Watch","")</f>
        <v/>
      </c>
      <c r="M129" s="69" t="str">
        <f>IFERROR(VLOOKUP($A129,'Raw Data'!$A$2:$C$50,3,FALSE()),"Not in first 49 rows")</f>
        <v>Not in first 49 rows</v>
      </c>
    </row>
    <row r="130" spans="1:13" x14ac:dyDescent="0.3">
      <c r="A130" s="68" t="str">
        <f>'Raw Data'!A130</f>
        <v>EMP0129</v>
      </c>
      <c r="B130" s="17" t="str">
        <f>INDEX('Raw Data'!$B$2:$B$301, MATCH(A130,'Raw Data'!$A$2:$A$301,0))</f>
        <v>Rajesh Rao</v>
      </c>
      <c r="C130" s="17" t="str">
        <f>VLOOKUP($A130,'Raw Data'!$A$2:$C$301,3,FALSE)</f>
        <v>Operations</v>
      </c>
      <c r="D130" s="17" t="str">
        <f>IF(ISBLANK('Raw Data'!F130),"Active","Resigned")</f>
        <v>Resigned</v>
      </c>
      <c r="E130" s="17">
        <f ca="1">DATEDIF('Raw Data'!E130,IF(ISBLANK('Raw Data'!F130),TODAY(),'Raw Data'!F130),"Y")</f>
        <v>4</v>
      </c>
      <c r="F130" s="17" t="str">
        <f>_xlfn.IFS('Raw Data'!D130&lt;30,"Under 30",'Raw Data'!D130&lt;=40,"30-40",'Raw Data'!D130&lt;=50,"41-50",TRUE(),"51+")</f>
        <v>51+</v>
      </c>
      <c r="G130" s="38">
        <f>'Raw Data'!G130*12</f>
        <v>632400</v>
      </c>
      <c r="H130" s="17" t="str">
        <f t="shared" si="3"/>
        <v>High</v>
      </c>
      <c r="I130" s="17">
        <f t="shared" si="4"/>
        <v>59</v>
      </c>
      <c r="J130" s="17" t="str">
        <f t="shared" si="5"/>
        <v>Ope-EMP0129</v>
      </c>
      <c r="K130" s="39">
        <f ca="1">EOMONTH('Raw Data'!E130,12*(YEAR(TODAY())-YEAR('Raw Data'!E130))+3)</f>
        <v>46418</v>
      </c>
      <c r="L130" s="17" t="str">
        <f ca="1">IF(AND('Raw Data'!H130&gt;=4,D130="Active",E130&lt;2),"Watch","")</f>
        <v/>
      </c>
      <c r="M130" s="69" t="str">
        <f>IFERROR(VLOOKUP($A130,'Raw Data'!$A$2:$C$50,3,FALSE()),"Not in first 49 rows")</f>
        <v>Not in first 49 rows</v>
      </c>
    </row>
    <row r="131" spans="1:13" x14ac:dyDescent="0.3">
      <c r="A131" s="68" t="str">
        <f>'Raw Data'!A131</f>
        <v>EMP0130</v>
      </c>
      <c r="B131" s="17" t="str">
        <f>INDEX('Raw Data'!$B$2:$B$301, MATCH(A131,'Raw Data'!$A$2:$A$301,0))</f>
        <v>Anil Iyer</v>
      </c>
      <c r="C131" s="17" t="str">
        <f>VLOOKUP($A131,'Raw Data'!$A$2:$C$301,3,FALSE)</f>
        <v>HR</v>
      </c>
      <c r="D131" s="17" t="str">
        <f>IF(ISBLANK('Raw Data'!F131),"Active","Resigned")</f>
        <v>Active</v>
      </c>
      <c r="E131" s="17">
        <f ca="1">DATEDIF('Raw Data'!E131,IF(ISBLANK('Raw Data'!F131),TODAY(),'Raw Data'!F131),"Y")</f>
        <v>8</v>
      </c>
      <c r="F131" s="17" t="str">
        <f>_xlfn.IFS('Raw Data'!D131&lt;30,"Under 30",'Raw Data'!D131&lt;=40,"30-40",'Raw Data'!D131&lt;=50,"41-50",TRUE(),"51+")</f>
        <v>41-50</v>
      </c>
      <c r="G131" s="38">
        <f>'Raw Data'!G131*12</f>
        <v>558000</v>
      </c>
      <c r="H131" s="17" t="str">
        <f t="shared" ref="H131:H194" si="6">_xlfn.IFS(G131&lt;420000,"Low",G131&lt;540000,"Mid",G131&lt;660000,"High",TRUE(),"Premium")</f>
        <v>High</v>
      </c>
      <c r="I131" s="17">
        <f t="shared" ref="I131:I194" si="7">RANK(G131,$G$2:$G$301)</f>
        <v>129</v>
      </c>
      <c r="J131" s="17" t="str">
        <f t="shared" ref="J131:J194" si="8">_xlfn.TEXTJOIN("-",TRUE(),LEFT(C131,3),A131)</f>
        <v>HR-EMP0130</v>
      </c>
      <c r="K131" s="39">
        <f ca="1">EOMONTH('Raw Data'!E131,12*(YEAR(TODAY())-YEAR('Raw Data'!E131))+3)</f>
        <v>46203</v>
      </c>
      <c r="L131" s="17" t="str">
        <f ca="1">IF(AND('Raw Data'!H131&gt;=4,D131="Active",E131&lt;2),"Watch","")</f>
        <v/>
      </c>
      <c r="M131" s="69" t="str">
        <f>IFERROR(VLOOKUP($A131,'Raw Data'!$A$2:$C$50,3,FALSE()),"Not in first 49 rows")</f>
        <v>Not in first 49 rows</v>
      </c>
    </row>
    <row r="132" spans="1:13" x14ac:dyDescent="0.3">
      <c r="A132" s="68" t="str">
        <f>'Raw Data'!A132</f>
        <v>EMP0131</v>
      </c>
      <c r="B132" s="17" t="str">
        <f>INDEX('Raw Data'!$B$2:$B$301, MATCH(A132,'Raw Data'!$A$2:$A$301,0))</f>
        <v>Nikhil Menon</v>
      </c>
      <c r="C132" s="17" t="str">
        <f>VLOOKUP($A132,'Raw Data'!$A$2:$C$301,3,FALSE)</f>
        <v>Finance</v>
      </c>
      <c r="D132" s="17" t="str">
        <f>IF(ISBLANK('Raw Data'!F132),"Active","Resigned")</f>
        <v>Active</v>
      </c>
      <c r="E132" s="17">
        <f ca="1">DATEDIF('Raw Data'!E132,IF(ISBLANK('Raw Data'!F132),TODAY(),'Raw Data'!F132),"Y")</f>
        <v>7</v>
      </c>
      <c r="F132" s="17" t="str">
        <f>_xlfn.IFS('Raw Data'!D132&lt;30,"Under 30",'Raw Data'!D132&lt;=40,"30-40",'Raw Data'!D132&lt;=50,"41-50",TRUE(),"51+")</f>
        <v>51+</v>
      </c>
      <c r="G132" s="38">
        <f>'Raw Data'!G132*12</f>
        <v>577200</v>
      </c>
      <c r="H132" s="17" t="str">
        <f t="shared" si="6"/>
        <v>High</v>
      </c>
      <c r="I132" s="17">
        <f t="shared" si="7"/>
        <v>112</v>
      </c>
      <c r="J132" s="17" t="str">
        <f t="shared" si="8"/>
        <v>Fin-EMP0131</v>
      </c>
      <c r="K132" s="39">
        <f ca="1">EOMONTH('Raw Data'!E132,12*(YEAR(TODAY())-YEAR('Raw Data'!E132))+3)</f>
        <v>46234</v>
      </c>
      <c r="L132" s="17" t="str">
        <f ca="1">IF(AND('Raw Data'!H132&gt;=4,D132="Active",E132&lt;2),"Watch","")</f>
        <v/>
      </c>
      <c r="M132" s="69" t="str">
        <f>IFERROR(VLOOKUP($A132,'Raw Data'!$A$2:$C$50,3,FALSE()),"Not in first 49 rows")</f>
        <v>Not in first 49 rows</v>
      </c>
    </row>
    <row r="133" spans="1:13" x14ac:dyDescent="0.3">
      <c r="A133" s="68" t="str">
        <f>'Raw Data'!A133</f>
        <v>EMP0132</v>
      </c>
      <c r="B133" s="17" t="str">
        <f>INDEX('Raw Data'!$B$2:$B$301, MATCH(A133,'Raw Data'!$A$2:$A$301,0))</f>
        <v>Manoj Iyer</v>
      </c>
      <c r="C133" s="17" t="str">
        <f>VLOOKUP($A133,'Raw Data'!$A$2:$C$301,3,FALSE)</f>
        <v>Sales</v>
      </c>
      <c r="D133" s="17" t="str">
        <f>IF(ISBLANK('Raw Data'!F133),"Active","Resigned")</f>
        <v>Active</v>
      </c>
      <c r="E133" s="17">
        <f ca="1">DATEDIF('Raw Data'!E133,IF(ISBLANK('Raw Data'!F133),TODAY(),'Raw Data'!F133),"Y")</f>
        <v>2</v>
      </c>
      <c r="F133" s="17" t="str">
        <f>_xlfn.IFS('Raw Data'!D133&lt;30,"Under 30",'Raw Data'!D133&lt;=40,"30-40",'Raw Data'!D133&lt;=50,"41-50",TRUE(),"51+")</f>
        <v>51+</v>
      </c>
      <c r="G133" s="38">
        <f>'Raw Data'!G133*12</f>
        <v>616800</v>
      </c>
      <c r="H133" s="17" t="str">
        <f t="shared" si="6"/>
        <v>High</v>
      </c>
      <c r="I133" s="17">
        <f t="shared" si="7"/>
        <v>74</v>
      </c>
      <c r="J133" s="17" t="str">
        <f t="shared" si="8"/>
        <v>Sal-EMP0132</v>
      </c>
      <c r="K133" s="39">
        <f ca="1">EOMONTH('Raw Data'!E133,12*(YEAR(TODAY())-YEAR('Raw Data'!E133))+3)</f>
        <v>46387</v>
      </c>
      <c r="L133" s="17" t="str">
        <f ca="1">IF(AND('Raw Data'!H133&gt;=4,D133="Active",E133&lt;2),"Watch","")</f>
        <v/>
      </c>
      <c r="M133" s="69" t="str">
        <f>IFERROR(VLOOKUP($A133,'Raw Data'!$A$2:$C$50,3,FALSE()),"Not in first 49 rows")</f>
        <v>Not in first 49 rows</v>
      </c>
    </row>
    <row r="134" spans="1:13" x14ac:dyDescent="0.3">
      <c r="A134" s="68" t="str">
        <f>'Raw Data'!A134</f>
        <v>EMP0133</v>
      </c>
      <c r="B134" s="17" t="str">
        <f>INDEX('Raw Data'!$B$2:$B$301, MATCH(A134,'Raw Data'!$A$2:$A$301,0))</f>
        <v>Neha Rao</v>
      </c>
      <c r="C134" s="17" t="str">
        <f>VLOOKUP($A134,'Raw Data'!$A$2:$C$301,3,FALSE)</f>
        <v>Marketing</v>
      </c>
      <c r="D134" s="17" t="str">
        <f>IF(ISBLANK('Raw Data'!F134),"Active","Resigned")</f>
        <v>Active</v>
      </c>
      <c r="E134" s="17">
        <f ca="1">DATEDIF('Raw Data'!E134,IF(ISBLANK('Raw Data'!F134),TODAY(),'Raw Data'!F134),"Y")</f>
        <v>8</v>
      </c>
      <c r="F134" s="17" t="str">
        <f>_xlfn.IFS('Raw Data'!D134&lt;30,"Under 30",'Raw Data'!D134&lt;=40,"30-40",'Raw Data'!D134&lt;=50,"41-50",TRUE(),"51+")</f>
        <v>41-50</v>
      </c>
      <c r="G134" s="38">
        <f>'Raw Data'!G134*12</f>
        <v>538800</v>
      </c>
      <c r="H134" s="17" t="str">
        <f t="shared" si="6"/>
        <v>Mid</v>
      </c>
      <c r="I134" s="17">
        <f t="shared" si="7"/>
        <v>154</v>
      </c>
      <c r="J134" s="17" t="str">
        <f t="shared" si="8"/>
        <v>Mar-EMP0133</v>
      </c>
      <c r="K134" s="39">
        <f ca="1">EOMONTH('Raw Data'!E134,12*(YEAR(TODAY())-YEAR('Raw Data'!E134))+3)</f>
        <v>46295</v>
      </c>
      <c r="L134" s="17" t="str">
        <f ca="1">IF(AND('Raw Data'!H134&gt;=4,D134="Active",E134&lt;2),"Watch","")</f>
        <v/>
      </c>
      <c r="M134" s="69" t="str">
        <f>IFERROR(VLOOKUP($A134,'Raw Data'!$A$2:$C$50,3,FALSE()),"Not in first 49 rows")</f>
        <v>Not in first 49 rows</v>
      </c>
    </row>
    <row r="135" spans="1:13" x14ac:dyDescent="0.3">
      <c r="A135" s="68" t="str">
        <f>'Raw Data'!A135</f>
        <v>EMP0134</v>
      </c>
      <c r="B135" s="17" t="str">
        <f>INDEX('Raw Data'!$B$2:$B$301, MATCH(A135,'Raw Data'!$A$2:$A$301,0))</f>
        <v>Rohan Kumar</v>
      </c>
      <c r="C135" s="17" t="str">
        <f>VLOOKUP($A135,'Raw Data'!$A$2:$C$301,3,FALSE)</f>
        <v>Operations</v>
      </c>
      <c r="D135" s="17" t="str">
        <f>IF(ISBLANK('Raw Data'!F135),"Active","Resigned")</f>
        <v>Active</v>
      </c>
      <c r="E135" s="17">
        <f ca="1">DATEDIF('Raw Data'!E135,IF(ISBLANK('Raw Data'!F135),TODAY(),'Raw Data'!F135),"Y")</f>
        <v>7</v>
      </c>
      <c r="F135" s="17" t="str">
        <f>_xlfn.IFS('Raw Data'!D135&lt;30,"Under 30",'Raw Data'!D135&lt;=40,"30-40",'Raw Data'!D135&lt;=50,"41-50",TRUE(),"51+")</f>
        <v>Under 30</v>
      </c>
      <c r="G135" s="38">
        <f>'Raw Data'!G135*12</f>
        <v>357600</v>
      </c>
      <c r="H135" s="17" t="str">
        <f t="shared" si="6"/>
        <v>Low</v>
      </c>
      <c r="I135" s="17">
        <f t="shared" si="7"/>
        <v>290</v>
      </c>
      <c r="J135" s="17" t="str">
        <f t="shared" si="8"/>
        <v>Ope-EMP0134</v>
      </c>
      <c r="K135" s="39">
        <f ca="1">EOMONTH('Raw Data'!E135,12*(YEAR(TODAY())-YEAR('Raw Data'!E135))+3)</f>
        <v>46295</v>
      </c>
      <c r="L135" s="17" t="str">
        <f ca="1">IF(AND('Raw Data'!H135&gt;=4,D135="Active",E135&lt;2),"Watch","")</f>
        <v/>
      </c>
      <c r="M135" s="69" t="str">
        <f>IFERROR(VLOOKUP($A135,'Raw Data'!$A$2:$C$50,3,FALSE()),"Not in first 49 rows")</f>
        <v>Not in first 49 rows</v>
      </c>
    </row>
    <row r="136" spans="1:13" x14ac:dyDescent="0.3">
      <c r="A136" s="68" t="str">
        <f>'Raw Data'!A136</f>
        <v>EMP0135</v>
      </c>
      <c r="B136" s="17" t="str">
        <f>INDEX('Raw Data'!$B$2:$B$301, MATCH(A136,'Raw Data'!$A$2:$A$301,0))</f>
        <v>Rohan Gupta</v>
      </c>
      <c r="C136" s="17" t="str">
        <f>VLOOKUP($A136,'Raw Data'!$A$2:$C$301,3,FALSE)</f>
        <v>Finance</v>
      </c>
      <c r="D136" s="17" t="str">
        <f>IF(ISBLANK('Raw Data'!F136),"Active","Resigned")</f>
        <v>Active</v>
      </c>
      <c r="E136" s="17">
        <f ca="1">DATEDIF('Raw Data'!E136,IF(ISBLANK('Raw Data'!F136),TODAY(),'Raw Data'!F136),"Y")</f>
        <v>2</v>
      </c>
      <c r="F136" s="17" t="str">
        <f>_xlfn.IFS('Raw Data'!D136&lt;30,"Under 30",'Raw Data'!D136&lt;=40,"30-40",'Raw Data'!D136&lt;=50,"41-50",TRUE(),"51+")</f>
        <v>41-50</v>
      </c>
      <c r="G136" s="38">
        <f>'Raw Data'!G136*12</f>
        <v>549600</v>
      </c>
      <c r="H136" s="17" t="str">
        <f t="shared" si="6"/>
        <v>High</v>
      </c>
      <c r="I136" s="17">
        <f t="shared" si="7"/>
        <v>140</v>
      </c>
      <c r="J136" s="17" t="str">
        <f t="shared" si="8"/>
        <v>Fin-EMP0135</v>
      </c>
      <c r="K136" s="39">
        <f ca="1">EOMONTH('Raw Data'!E136,12*(YEAR(TODAY())-YEAR('Raw Data'!E136))+3)</f>
        <v>46265</v>
      </c>
      <c r="L136" s="17" t="str">
        <f ca="1">IF(AND('Raw Data'!H136&gt;=4,D136="Active",E136&lt;2),"Watch","")</f>
        <v/>
      </c>
      <c r="M136" s="69" t="str">
        <f>IFERROR(VLOOKUP($A136,'Raw Data'!$A$2:$C$50,3,FALSE()),"Not in first 49 rows")</f>
        <v>Not in first 49 rows</v>
      </c>
    </row>
    <row r="137" spans="1:13" x14ac:dyDescent="0.3">
      <c r="A137" s="68" t="str">
        <f>'Raw Data'!A137</f>
        <v>EMP0136</v>
      </c>
      <c r="B137" s="17" t="str">
        <f>INDEX('Raw Data'!$B$2:$B$301, MATCH(A137,'Raw Data'!$A$2:$A$301,0))</f>
        <v>Vikram Bhat</v>
      </c>
      <c r="C137" s="17" t="str">
        <f>VLOOKUP($A137,'Raw Data'!$A$2:$C$301,3,FALSE)</f>
        <v>IT</v>
      </c>
      <c r="D137" s="17" t="str">
        <f>IF(ISBLANK('Raw Data'!F137),"Active","Resigned")</f>
        <v>Resigned</v>
      </c>
      <c r="E137" s="17">
        <f ca="1">DATEDIF('Raw Data'!E137,IF(ISBLANK('Raw Data'!F137),TODAY(),'Raw Data'!F137),"Y")</f>
        <v>0</v>
      </c>
      <c r="F137" s="17" t="str">
        <f>_xlfn.IFS('Raw Data'!D137&lt;30,"Under 30",'Raw Data'!D137&lt;=40,"30-40",'Raw Data'!D137&lt;=50,"41-50",TRUE(),"51+")</f>
        <v>30-40</v>
      </c>
      <c r="G137" s="38">
        <f>'Raw Data'!G137*12</f>
        <v>806400</v>
      </c>
      <c r="H137" s="17" t="str">
        <f t="shared" si="6"/>
        <v>Premium</v>
      </c>
      <c r="I137" s="17">
        <f t="shared" si="7"/>
        <v>2</v>
      </c>
      <c r="J137" s="17" t="str">
        <f t="shared" si="8"/>
        <v>IT-EMP0136</v>
      </c>
      <c r="K137" s="39">
        <f ca="1">EOMONTH('Raw Data'!E137,12*(YEAR(TODAY())-YEAR('Raw Data'!E137))+3)</f>
        <v>46234</v>
      </c>
      <c r="L137" s="17" t="str">
        <f ca="1">IF(AND('Raw Data'!H137&gt;=4,D137="Active",E137&lt;2),"Watch","")</f>
        <v/>
      </c>
      <c r="M137" s="69" t="str">
        <f>IFERROR(VLOOKUP($A137,'Raw Data'!$A$2:$C$50,3,FALSE()),"Not in first 49 rows")</f>
        <v>Not in first 49 rows</v>
      </c>
    </row>
    <row r="138" spans="1:13" x14ac:dyDescent="0.3">
      <c r="A138" s="68" t="str">
        <f>'Raw Data'!A138</f>
        <v>EMP0137</v>
      </c>
      <c r="B138" s="17" t="str">
        <f>INDEX('Raw Data'!$B$2:$B$301, MATCH(A138,'Raw Data'!$A$2:$A$301,0))</f>
        <v>Amit Kumar</v>
      </c>
      <c r="C138" s="17" t="str">
        <f>VLOOKUP($A138,'Raw Data'!$A$2:$C$301,3,FALSE)</f>
        <v>HR</v>
      </c>
      <c r="D138" s="17" t="str">
        <f>IF(ISBLANK('Raw Data'!F138),"Active","Resigned")</f>
        <v>Active</v>
      </c>
      <c r="E138" s="17">
        <f ca="1">DATEDIF('Raw Data'!E138,IF(ISBLANK('Raw Data'!F138),TODAY(),'Raw Data'!F138),"Y")</f>
        <v>8</v>
      </c>
      <c r="F138" s="17" t="str">
        <f>_xlfn.IFS('Raw Data'!D138&lt;30,"Under 30",'Raw Data'!D138&lt;=40,"30-40",'Raw Data'!D138&lt;=50,"41-50",TRUE(),"51+")</f>
        <v>Under 30</v>
      </c>
      <c r="G138" s="38">
        <f>'Raw Data'!G138*12</f>
        <v>376800</v>
      </c>
      <c r="H138" s="17" t="str">
        <f t="shared" si="6"/>
        <v>Low</v>
      </c>
      <c r="I138" s="17">
        <f t="shared" si="7"/>
        <v>278</v>
      </c>
      <c r="J138" s="17" t="str">
        <f t="shared" si="8"/>
        <v>HR-EMP0137</v>
      </c>
      <c r="K138" s="39">
        <f ca="1">EOMONTH('Raw Data'!E138,12*(YEAR(TODAY())-YEAR('Raw Data'!E138))+3)</f>
        <v>46326</v>
      </c>
      <c r="L138" s="17" t="str">
        <f ca="1">IF(AND('Raw Data'!H138&gt;=4,D138="Active",E138&lt;2),"Watch","")</f>
        <v/>
      </c>
      <c r="M138" s="69" t="str">
        <f>IFERROR(VLOOKUP($A138,'Raw Data'!$A$2:$C$50,3,FALSE()),"Not in first 49 rows")</f>
        <v>Not in first 49 rows</v>
      </c>
    </row>
    <row r="139" spans="1:13" x14ac:dyDescent="0.3">
      <c r="A139" s="68" t="str">
        <f>'Raw Data'!A139</f>
        <v>EMP0138</v>
      </c>
      <c r="B139" s="17" t="str">
        <f>INDEX('Raw Data'!$B$2:$B$301, MATCH(A139,'Raw Data'!$A$2:$A$301,0))</f>
        <v>Manoj Pillai</v>
      </c>
      <c r="C139" s="17" t="str">
        <f>VLOOKUP($A139,'Raw Data'!$A$2:$C$301,3,FALSE)</f>
        <v>Finance</v>
      </c>
      <c r="D139" s="17" t="str">
        <f>IF(ISBLANK('Raw Data'!F139),"Active","Resigned")</f>
        <v>Active</v>
      </c>
      <c r="E139" s="17">
        <f ca="1">DATEDIF('Raw Data'!E139,IF(ISBLANK('Raw Data'!F139),TODAY(),'Raw Data'!F139),"Y")</f>
        <v>1</v>
      </c>
      <c r="F139" s="17" t="str">
        <f>_xlfn.IFS('Raw Data'!D139&lt;30,"Under 30",'Raw Data'!D139&lt;=40,"30-40",'Raw Data'!D139&lt;=50,"41-50",TRUE(),"51+")</f>
        <v>Under 30</v>
      </c>
      <c r="G139" s="38">
        <f>'Raw Data'!G139*12</f>
        <v>567600</v>
      </c>
      <c r="H139" s="17" t="str">
        <f t="shared" si="6"/>
        <v>High</v>
      </c>
      <c r="I139" s="17">
        <f t="shared" si="7"/>
        <v>120</v>
      </c>
      <c r="J139" s="17" t="str">
        <f t="shared" si="8"/>
        <v>Fin-EMP0138</v>
      </c>
      <c r="K139" s="39">
        <f ca="1">EOMONTH('Raw Data'!E139,12*(YEAR(TODAY())-YEAR('Raw Data'!E139))+3)</f>
        <v>46446</v>
      </c>
      <c r="L139" s="17" t="str">
        <f ca="1">IF(AND('Raw Data'!H139&gt;=4,D139="Active",E139&lt;2),"Watch","")</f>
        <v/>
      </c>
      <c r="M139" s="69" t="str">
        <f>IFERROR(VLOOKUP($A139,'Raw Data'!$A$2:$C$50,3,FALSE()),"Not in first 49 rows")</f>
        <v>Not in first 49 rows</v>
      </c>
    </row>
    <row r="140" spans="1:13" x14ac:dyDescent="0.3">
      <c r="A140" s="68" t="str">
        <f>'Raw Data'!A140</f>
        <v>EMP0139</v>
      </c>
      <c r="B140" s="17" t="str">
        <f>INDEX('Raw Data'!$B$2:$B$301, MATCH(A140,'Raw Data'!$A$2:$A$301,0))</f>
        <v>Vikram Iyer</v>
      </c>
      <c r="C140" s="17" t="str">
        <f>VLOOKUP($A140,'Raw Data'!$A$2:$C$301,3,FALSE)</f>
        <v>IT</v>
      </c>
      <c r="D140" s="17" t="str">
        <f>IF(ISBLANK('Raw Data'!F140),"Active","Resigned")</f>
        <v>Active</v>
      </c>
      <c r="E140" s="17">
        <f ca="1">DATEDIF('Raw Data'!E140,IF(ISBLANK('Raw Data'!F140),TODAY(),'Raw Data'!F140),"Y")</f>
        <v>1</v>
      </c>
      <c r="F140" s="17" t="str">
        <f>_xlfn.IFS('Raw Data'!D140&lt;30,"Under 30",'Raw Data'!D140&lt;=40,"30-40",'Raw Data'!D140&lt;=50,"41-50",TRUE(),"51+")</f>
        <v>41-50</v>
      </c>
      <c r="G140" s="38">
        <f>'Raw Data'!G140*12</f>
        <v>634800</v>
      </c>
      <c r="H140" s="17" t="str">
        <f t="shared" si="6"/>
        <v>High</v>
      </c>
      <c r="I140" s="17">
        <f t="shared" si="7"/>
        <v>58</v>
      </c>
      <c r="J140" s="17" t="str">
        <f t="shared" si="8"/>
        <v>IT-EMP0139</v>
      </c>
      <c r="K140" s="39">
        <f ca="1">EOMONTH('Raw Data'!E140,12*(YEAR(TODAY())-YEAR('Raw Data'!E140))+3)</f>
        <v>46203</v>
      </c>
      <c r="L140" s="17" t="str">
        <f ca="1">IF(AND('Raw Data'!H140&gt;=4,D140="Active",E140&lt;2),"Watch","")</f>
        <v>Watch</v>
      </c>
      <c r="M140" s="69" t="str">
        <f>IFERROR(VLOOKUP($A140,'Raw Data'!$A$2:$C$50,3,FALSE()),"Not in first 49 rows")</f>
        <v>Not in first 49 rows</v>
      </c>
    </row>
    <row r="141" spans="1:13" x14ac:dyDescent="0.3">
      <c r="A141" s="68" t="str">
        <f>'Raw Data'!A141</f>
        <v>EMP0140</v>
      </c>
      <c r="B141" s="17" t="str">
        <f>INDEX('Raw Data'!$B$2:$B$301, MATCH(A141,'Raw Data'!$A$2:$A$301,0))</f>
        <v>Priya Sharma</v>
      </c>
      <c r="C141" s="17" t="str">
        <f>VLOOKUP($A141,'Raw Data'!$A$2:$C$301,3,FALSE)</f>
        <v>IT</v>
      </c>
      <c r="D141" s="17" t="str">
        <f>IF(ISBLANK('Raw Data'!F141),"Active","Resigned")</f>
        <v>Active</v>
      </c>
      <c r="E141" s="17">
        <f ca="1">DATEDIF('Raw Data'!E141,IF(ISBLANK('Raw Data'!F141),TODAY(),'Raw Data'!F141),"Y")</f>
        <v>6</v>
      </c>
      <c r="F141" s="17" t="str">
        <f>_xlfn.IFS('Raw Data'!D141&lt;30,"Under 30",'Raw Data'!D141&lt;=40,"30-40",'Raw Data'!D141&lt;=50,"41-50",TRUE(),"51+")</f>
        <v>51+</v>
      </c>
      <c r="G141" s="38">
        <f>'Raw Data'!G141*12</f>
        <v>591600</v>
      </c>
      <c r="H141" s="17" t="str">
        <f t="shared" si="6"/>
        <v>High</v>
      </c>
      <c r="I141" s="17">
        <f t="shared" si="7"/>
        <v>103</v>
      </c>
      <c r="J141" s="17" t="str">
        <f t="shared" si="8"/>
        <v>IT-EMP0140</v>
      </c>
      <c r="K141" s="39">
        <f ca="1">EOMONTH('Raw Data'!E141,12*(YEAR(TODAY())-YEAR('Raw Data'!E141))+3)</f>
        <v>46387</v>
      </c>
      <c r="L141" s="17" t="str">
        <f ca="1">IF(AND('Raw Data'!H141&gt;=4,D141="Active",E141&lt;2),"Watch","")</f>
        <v/>
      </c>
      <c r="M141" s="69" t="str">
        <f>IFERROR(VLOOKUP($A141,'Raw Data'!$A$2:$C$50,3,FALSE()),"Not in first 49 rows")</f>
        <v>Not in first 49 rows</v>
      </c>
    </row>
    <row r="142" spans="1:13" x14ac:dyDescent="0.3">
      <c r="A142" s="68" t="str">
        <f>'Raw Data'!A142</f>
        <v>EMP0141</v>
      </c>
      <c r="B142" s="17" t="str">
        <f>INDEX('Raw Data'!$B$2:$B$301, MATCH(A142,'Raw Data'!$A$2:$A$301,0))</f>
        <v>Rajesh Rao</v>
      </c>
      <c r="C142" s="17" t="str">
        <f>VLOOKUP($A142,'Raw Data'!$A$2:$C$301,3,FALSE)</f>
        <v>Operations</v>
      </c>
      <c r="D142" s="17" t="str">
        <f>IF(ISBLANK('Raw Data'!F142),"Active","Resigned")</f>
        <v>Resigned</v>
      </c>
      <c r="E142" s="17">
        <f ca="1">DATEDIF('Raw Data'!E142,IF(ISBLANK('Raw Data'!F142),TODAY(),'Raw Data'!F142),"Y")</f>
        <v>0</v>
      </c>
      <c r="F142" s="17" t="str">
        <f>_xlfn.IFS('Raw Data'!D142&lt;30,"Under 30",'Raw Data'!D142&lt;=40,"30-40",'Raw Data'!D142&lt;=50,"41-50",TRUE(),"51+")</f>
        <v>41-50</v>
      </c>
      <c r="G142" s="38">
        <f>'Raw Data'!G142*12</f>
        <v>435600</v>
      </c>
      <c r="H142" s="17" t="str">
        <f t="shared" si="6"/>
        <v>Mid</v>
      </c>
      <c r="I142" s="17">
        <f t="shared" si="7"/>
        <v>239</v>
      </c>
      <c r="J142" s="17" t="str">
        <f t="shared" si="8"/>
        <v>Ope-EMP0141</v>
      </c>
      <c r="K142" s="39">
        <f ca="1">EOMONTH('Raw Data'!E142,12*(YEAR(TODAY())-YEAR('Raw Data'!E142))+3)</f>
        <v>46234</v>
      </c>
      <c r="L142" s="17" t="str">
        <f ca="1">IF(AND('Raw Data'!H142&gt;=4,D142="Active",E142&lt;2),"Watch","")</f>
        <v/>
      </c>
      <c r="M142" s="69" t="str">
        <f>IFERROR(VLOOKUP($A142,'Raw Data'!$A$2:$C$50,3,FALSE()),"Not in first 49 rows")</f>
        <v>Not in first 49 rows</v>
      </c>
    </row>
    <row r="143" spans="1:13" x14ac:dyDescent="0.3">
      <c r="A143" s="68" t="str">
        <f>'Raw Data'!A143</f>
        <v>EMP0142</v>
      </c>
      <c r="B143" s="17" t="str">
        <f>INDEX('Raw Data'!$B$2:$B$301, MATCH(A143,'Raw Data'!$A$2:$A$301,0))</f>
        <v>Ishaan Nair</v>
      </c>
      <c r="C143" s="17" t="str">
        <f>VLOOKUP($A143,'Raw Data'!$A$2:$C$301,3,FALSE)</f>
        <v>IT</v>
      </c>
      <c r="D143" s="17" t="str">
        <f>IF(ISBLANK('Raw Data'!F143),"Active","Resigned")</f>
        <v>Active</v>
      </c>
      <c r="E143" s="17">
        <f ca="1">DATEDIF('Raw Data'!E143,IF(ISBLANK('Raw Data'!F143),TODAY(),'Raw Data'!F143),"Y")</f>
        <v>6</v>
      </c>
      <c r="F143" s="17" t="str">
        <f>_xlfn.IFS('Raw Data'!D143&lt;30,"Under 30",'Raw Data'!D143&lt;=40,"30-40",'Raw Data'!D143&lt;=50,"41-50",TRUE(),"51+")</f>
        <v>30-40</v>
      </c>
      <c r="G143" s="38">
        <f>'Raw Data'!G143*12</f>
        <v>721200</v>
      </c>
      <c r="H143" s="17" t="str">
        <f t="shared" si="6"/>
        <v>Premium</v>
      </c>
      <c r="I143" s="17">
        <f t="shared" si="7"/>
        <v>23</v>
      </c>
      <c r="J143" s="17" t="str">
        <f t="shared" si="8"/>
        <v>IT-EMP0142</v>
      </c>
      <c r="K143" s="39">
        <f ca="1">EOMONTH('Raw Data'!E143,12*(YEAR(TODAY())-YEAR('Raw Data'!E143))+3)</f>
        <v>46265</v>
      </c>
      <c r="L143" s="17" t="str">
        <f ca="1">IF(AND('Raw Data'!H143&gt;=4,D143="Active",E143&lt;2),"Watch","")</f>
        <v/>
      </c>
      <c r="M143" s="69" t="str">
        <f>IFERROR(VLOOKUP($A143,'Raw Data'!$A$2:$C$50,3,FALSE()),"Not in first 49 rows")</f>
        <v>Not in first 49 rows</v>
      </c>
    </row>
    <row r="144" spans="1:13" x14ac:dyDescent="0.3">
      <c r="A144" s="68" t="str">
        <f>'Raw Data'!A144</f>
        <v>EMP0143</v>
      </c>
      <c r="B144" s="17" t="str">
        <f>INDEX('Raw Data'!$B$2:$B$301, MATCH(A144,'Raw Data'!$A$2:$A$301,0))</f>
        <v>Sunita Kapoor</v>
      </c>
      <c r="C144" s="17" t="str">
        <f>VLOOKUP($A144,'Raw Data'!$A$2:$C$301,3,FALSE)</f>
        <v>IT</v>
      </c>
      <c r="D144" s="17" t="str">
        <f>IF(ISBLANK('Raw Data'!F144),"Active","Resigned")</f>
        <v>Active</v>
      </c>
      <c r="E144" s="17">
        <f ca="1">DATEDIF('Raw Data'!E144,IF(ISBLANK('Raw Data'!F144),TODAY(),'Raw Data'!F144),"Y")</f>
        <v>5</v>
      </c>
      <c r="F144" s="17" t="str">
        <f>_xlfn.IFS('Raw Data'!D144&lt;30,"Under 30",'Raw Data'!D144&lt;=40,"30-40",'Raw Data'!D144&lt;=50,"41-50",TRUE(),"51+")</f>
        <v>30-40</v>
      </c>
      <c r="G144" s="38">
        <f>'Raw Data'!G144*12</f>
        <v>768000</v>
      </c>
      <c r="H144" s="17" t="str">
        <f t="shared" si="6"/>
        <v>Premium</v>
      </c>
      <c r="I144" s="17">
        <f t="shared" si="7"/>
        <v>11</v>
      </c>
      <c r="J144" s="17" t="str">
        <f t="shared" si="8"/>
        <v>IT-EMP0143</v>
      </c>
      <c r="K144" s="39">
        <f ca="1">EOMONTH('Raw Data'!E144,12*(YEAR(TODAY())-YEAR('Raw Data'!E144))+3)</f>
        <v>46356</v>
      </c>
      <c r="L144" s="17" t="str">
        <f ca="1">IF(AND('Raw Data'!H144&gt;=4,D144="Active",E144&lt;2),"Watch","")</f>
        <v/>
      </c>
      <c r="M144" s="69" t="str">
        <f>IFERROR(VLOOKUP($A144,'Raw Data'!$A$2:$C$50,3,FALSE()),"Not in first 49 rows")</f>
        <v>Not in first 49 rows</v>
      </c>
    </row>
    <row r="145" spans="1:13" x14ac:dyDescent="0.3">
      <c r="A145" s="68" t="str">
        <f>'Raw Data'!A145</f>
        <v>EMP0144</v>
      </c>
      <c r="B145" s="17" t="str">
        <f>INDEX('Raw Data'!$B$2:$B$301, MATCH(A145,'Raw Data'!$A$2:$A$301,0))</f>
        <v>Anika Verma</v>
      </c>
      <c r="C145" s="17" t="str">
        <f>VLOOKUP($A145,'Raw Data'!$A$2:$C$301,3,FALSE)</f>
        <v>Operations</v>
      </c>
      <c r="D145" s="17" t="str">
        <f>IF(ISBLANK('Raw Data'!F145),"Active","Resigned")</f>
        <v>Active</v>
      </c>
      <c r="E145" s="17">
        <f ca="1">DATEDIF('Raw Data'!E145,IF(ISBLANK('Raw Data'!F145),TODAY(),'Raw Data'!F145),"Y")</f>
        <v>8</v>
      </c>
      <c r="F145" s="17" t="str">
        <f>_xlfn.IFS('Raw Data'!D145&lt;30,"Under 30",'Raw Data'!D145&lt;=40,"30-40",'Raw Data'!D145&lt;=50,"41-50",TRUE(),"51+")</f>
        <v>41-50</v>
      </c>
      <c r="G145" s="38">
        <f>'Raw Data'!G145*12</f>
        <v>621600</v>
      </c>
      <c r="H145" s="17" t="str">
        <f t="shared" si="6"/>
        <v>High</v>
      </c>
      <c r="I145" s="17">
        <f t="shared" si="7"/>
        <v>71</v>
      </c>
      <c r="J145" s="17" t="str">
        <f t="shared" si="8"/>
        <v>Ope-EMP0144</v>
      </c>
      <c r="K145" s="39">
        <f ca="1">EOMONTH('Raw Data'!E145,12*(YEAR(TODAY())-YEAR('Raw Data'!E145))+3)</f>
        <v>46295</v>
      </c>
      <c r="L145" s="17" t="str">
        <f ca="1">IF(AND('Raw Data'!H145&gt;=4,D145="Active",E145&lt;2),"Watch","")</f>
        <v/>
      </c>
      <c r="M145" s="69" t="str">
        <f>IFERROR(VLOOKUP($A145,'Raw Data'!$A$2:$C$50,3,FALSE()),"Not in first 49 rows")</f>
        <v>Not in first 49 rows</v>
      </c>
    </row>
    <row r="146" spans="1:13" x14ac:dyDescent="0.3">
      <c r="A146" s="68" t="str">
        <f>'Raw Data'!A146</f>
        <v>EMP0145</v>
      </c>
      <c r="B146" s="17" t="str">
        <f>INDEX('Raw Data'!$B$2:$B$301, MATCH(A146,'Raw Data'!$A$2:$A$301,0))</f>
        <v>Ishaan Joshi</v>
      </c>
      <c r="C146" s="17" t="str">
        <f>VLOOKUP($A146,'Raw Data'!$A$2:$C$301,3,FALSE)</f>
        <v>IT</v>
      </c>
      <c r="D146" s="17" t="str">
        <f>IF(ISBLANK('Raw Data'!F146),"Active","Resigned")</f>
        <v>Active</v>
      </c>
      <c r="E146" s="17">
        <f ca="1">DATEDIF('Raw Data'!E146,IF(ISBLANK('Raw Data'!F146),TODAY(),'Raw Data'!F146),"Y")</f>
        <v>9</v>
      </c>
      <c r="F146" s="17" t="str">
        <f>_xlfn.IFS('Raw Data'!D146&lt;30,"Under 30",'Raw Data'!D146&lt;=40,"30-40",'Raw Data'!D146&lt;=50,"41-50",TRUE(),"51+")</f>
        <v>41-50</v>
      </c>
      <c r="G146" s="38">
        <f>'Raw Data'!G146*12</f>
        <v>583200</v>
      </c>
      <c r="H146" s="17" t="str">
        <f t="shared" si="6"/>
        <v>High</v>
      </c>
      <c r="I146" s="17">
        <f t="shared" si="7"/>
        <v>109</v>
      </c>
      <c r="J146" s="17" t="str">
        <f t="shared" si="8"/>
        <v>IT-EMP0145</v>
      </c>
      <c r="K146" s="39">
        <f ca="1">EOMONTH('Raw Data'!E146,12*(YEAR(TODAY())-YEAR('Raw Data'!E146))+3)</f>
        <v>46387</v>
      </c>
      <c r="L146" s="17" t="str">
        <f ca="1">IF(AND('Raw Data'!H146&gt;=4,D146="Active",E146&lt;2),"Watch","")</f>
        <v/>
      </c>
      <c r="M146" s="69" t="str">
        <f>IFERROR(VLOOKUP($A146,'Raw Data'!$A$2:$C$50,3,FALSE()),"Not in first 49 rows")</f>
        <v>Not in first 49 rows</v>
      </c>
    </row>
    <row r="147" spans="1:13" x14ac:dyDescent="0.3">
      <c r="A147" s="68" t="str">
        <f>'Raw Data'!A147</f>
        <v>EMP0146</v>
      </c>
      <c r="B147" s="17" t="str">
        <f>INDEX('Raw Data'!$B$2:$B$301, MATCH(A147,'Raw Data'!$A$2:$A$301,0))</f>
        <v>Rajesh Gupta</v>
      </c>
      <c r="C147" s="17" t="str">
        <f>VLOOKUP($A147,'Raw Data'!$A$2:$C$301,3,FALSE)</f>
        <v>Operations</v>
      </c>
      <c r="D147" s="17" t="str">
        <f>IF(ISBLANK('Raw Data'!F147),"Active","Resigned")</f>
        <v>Active</v>
      </c>
      <c r="E147" s="17">
        <f ca="1">DATEDIF('Raw Data'!E147,IF(ISBLANK('Raw Data'!F147),TODAY(),'Raw Data'!F147),"Y")</f>
        <v>3</v>
      </c>
      <c r="F147" s="17" t="str">
        <f>_xlfn.IFS('Raw Data'!D147&lt;30,"Under 30",'Raw Data'!D147&lt;=40,"30-40",'Raw Data'!D147&lt;=50,"41-50",TRUE(),"51+")</f>
        <v>30-40</v>
      </c>
      <c r="G147" s="38">
        <f>'Raw Data'!G147*12</f>
        <v>627600</v>
      </c>
      <c r="H147" s="17" t="str">
        <f t="shared" si="6"/>
        <v>High</v>
      </c>
      <c r="I147" s="17">
        <f t="shared" si="7"/>
        <v>64</v>
      </c>
      <c r="J147" s="17" t="str">
        <f t="shared" si="8"/>
        <v>Ope-EMP0146</v>
      </c>
      <c r="K147" s="39">
        <f ca="1">EOMONTH('Raw Data'!E147,12*(YEAR(TODAY())-YEAR('Raw Data'!E147))+3)</f>
        <v>46203</v>
      </c>
      <c r="L147" s="17" t="str">
        <f ca="1">IF(AND('Raw Data'!H147&gt;=4,D147="Active",E147&lt;2),"Watch","")</f>
        <v/>
      </c>
      <c r="M147" s="69" t="str">
        <f>IFERROR(VLOOKUP($A147,'Raw Data'!$A$2:$C$50,3,FALSE()),"Not in first 49 rows")</f>
        <v>Not in first 49 rows</v>
      </c>
    </row>
    <row r="148" spans="1:13" x14ac:dyDescent="0.3">
      <c r="A148" s="68" t="str">
        <f>'Raw Data'!A148</f>
        <v>EMP0147</v>
      </c>
      <c r="B148" s="17" t="str">
        <f>INDEX('Raw Data'!$B$2:$B$301, MATCH(A148,'Raw Data'!$A$2:$A$301,0))</f>
        <v>Amit Nair</v>
      </c>
      <c r="C148" s="17" t="str">
        <f>VLOOKUP($A148,'Raw Data'!$A$2:$C$301,3,FALSE)</f>
        <v>Marketing</v>
      </c>
      <c r="D148" s="17" t="str">
        <f>IF(ISBLANK('Raw Data'!F148),"Active","Resigned")</f>
        <v>Resigned</v>
      </c>
      <c r="E148" s="17">
        <f ca="1">DATEDIF('Raw Data'!E148,IF(ISBLANK('Raw Data'!F148),TODAY(),'Raw Data'!F148),"Y")</f>
        <v>6</v>
      </c>
      <c r="F148" s="17" t="str">
        <f>_xlfn.IFS('Raw Data'!D148&lt;30,"Under 30",'Raw Data'!D148&lt;=40,"30-40",'Raw Data'!D148&lt;=50,"41-50",TRUE(),"51+")</f>
        <v>51+</v>
      </c>
      <c r="G148" s="38">
        <f>'Raw Data'!G148*12</f>
        <v>420000</v>
      </c>
      <c r="H148" s="17" t="str">
        <f t="shared" si="6"/>
        <v>Mid</v>
      </c>
      <c r="I148" s="17">
        <f t="shared" si="7"/>
        <v>252</v>
      </c>
      <c r="J148" s="17" t="str">
        <f t="shared" si="8"/>
        <v>Mar-EMP0147</v>
      </c>
      <c r="K148" s="39">
        <f ca="1">EOMONTH('Raw Data'!E148,12*(YEAR(TODAY())-YEAR('Raw Data'!E148))+3)</f>
        <v>46234</v>
      </c>
      <c r="L148" s="17" t="str">
        <f ca="1">IF(AND('Raw Data'!H148&gt;=4,D148="Active",E148&lt;2),"Watch","")</f>
        <v/>
      </c>
      <c r="M148" s="69" t="str">
        <f>IFERROR(VLOOKUP($A148,'Raw Data'!$A$2:$C$50,3,FALSE()),"Not in first 49 rows")</f>
        <v>Not in first 49 rows</v>
      </c>
    </row>
    <row r="149" spans="1:13" x14ac:dyDescent="0.3">
      <c r="A149" s="68" t="str">
        <f>'Raw Data'!A149</f>
        <v>EMP0148</v>
      </c>
      <c r="B149" s="17" t="str">
        <f>INDEX('Raw Data'!$B$2:$B$301, MATCH(A149,'Raw Data'!$A$2:$A$301,0))</f>
        <v>Myra Mehta</v>
      </c>
      <c r="C149" s="17" t="str">
        <f>VLOOKUP($A149,'Raw Data'!$A$2:$C$301,3,FALSE)</f>
        <v>Marketing</v>
      </c>
      <c r="D149" s="17" t="str">
        <f>IF(ISBLANK('Raw Data'!F149),"Active","Resigned")</f>
        <v>Active</v>
      </c>
      <c r="E149" s="17">
        <f ca="1">DATEDIF('Raw Data'!E149,IF(ISBLANK('Raw Data'!F149),TODAY(),'Raw Data'!F149),"Y")</f>
        <v>7</v>
      </c>
      <c r="F149" s="17" t="str">
        <f>_xlfn.IFS('Raw Data'!D149&lt;30,"Under 30",'Raw Data'!D149&lt;=40,"30-40",'Raw Data'!D149&lt;=50,"41-50",TRUE(),"51+")</f>
        <v>Under 30</v>
      </c>
      <c r="G149" s="38">
        <f>'Raw Data'!G149*12</f>
        <v>402000</v>
      </c>
      <c r="H149" s="17" t="str">
        <f t="shared" si="6"/>
        <v>Low</v>
      </c>
      <c r="I149" s="17">
        <f t="shared" si="7"/>
        <v>262</v>
      </c>
      <c r="J149" s="17" t="str">
        <f t="shared" si="8"/>
        <v>Mar-EMP0148</v>
      </c>
      <c r="K149" s="39">
        <f ca="1">EOMONTH('Raw Data'!E149,12*(YEAR(TODAY())-YEAR('Raw Data'!E149))+3)</f>
        <v>46173</v>
      </c>
      <c r="L149" s="17" t="str">
        <f ca="1">IF(AND('Raw Data'!H149&gt;=4,D149="Active",E149&lt;2),"Watch","")</f>
        <v/>
      </c>
      <c r="M149" s="69" t="str">
        <f>IFERROR(VLOOKUP($A149,'Raw Data'!$A$2:$C$50,3,FALSE()),"Not in first 49 rows")</f>
        <v>Not in first 49 rows</v>
      </c>
    </row>
    <row r="150" spans="1:13" x14ac:dyDescent="0.3">
      <c r="A150" s="68" t="str">
        <f>'Raw Data'!A150</f>
        <v>EMP0149</v>
      </c>
      <c r="B150" s="17" t="str">
        <f>INDEX('Raw Data'!$B$2:$B$301, MATCH(A150,'Raw Data'!$A$2:$A$301,0))</f>
        <v>Kiara Patel</v>
      </c>
      <c r="C150" s="17" t="str">
        <f>VLOOKUP($A150,'Raw Data'!$A$2:$C$301,3,FALSE)</f>
        <v>Sales</v>
      </c>
      <c r="D150" s="17" t="str">
        <f>IF(ISBLANK('Raw Data'!F150),"Active","Resigned")</f>
        <v>Resigned</v>
      </c>
      <c r="E150" s="17">
        <f ca="1">DATEDIF('Raw Data'!E150,IF(ISBLANK('Raw Data'!F150),TODAY(),'Raw Data'!F150),"Y")</f>
        <v>2</v>
      </c>
      <c r="F150" s="17" t="str">
        <f>_xlfn.IFS('Raw Data'!D150&lt;30,"Under 30",'Raw Data'!D150&lt;=40,"30-40",'Raw Data'!D150&lt;=50,"41-50",TRUE(),"51+")</f>
        <v>Under 30</v>
      </c>
      <c r="G150" s="38">
        <f>'Raw Data'!G150*12</f>
        <v>505200</v>
      </c>
      <c r="H150" s="17" t="str">
        <f t="shared" si="6"/>
        <v>Mid</v>
      </c>
      <c r="I150" s="17">
        <f t="shared" si="7"/>
        <v>181</v>
      </c>
      <c r="J150" s="17" t="str">
        <f t="shared" si="8"/>
        <v>Sal-EMP0149</v>
      </c>
      <c r="K150" s="39">
        <f ca="1">EOMONTH('Raw Data'!E150,12*(YEAR(TODAY())-YEAR('Raw Data'!E150))+3)</f>
        <v>46295</v>
      </c>
      <c r="L150" s="17" t="str">
        <f ca="1">IF(AND('Raw Data'!H150&gt;=4,D150="Active",E150&lt;2),"Watch","")</f>
        <v/>
      </c>
      <c r="M150" s="69" t="str">
        <f>IFERROR(VLOOKUP($A150,'Raw Data'!$A$2:$C$50,3,FALSE()),"Not in first 49 rows")</f>
        <v>Not in first 49 rows</v>
      </c>
    </row>
    <row r="151" spans="1:13" x14ac:dyDescent="0.3">
      <c r="A151" s="68" t="str">
        <f>'Raw Data'!A151</f>
        <v>EMP0150</v>
      </c>
      <c r="B151" s="17" t="str">
        <f>INDEX('Raw Data'!$B$2:$B$301, MATCH(A151,'Raw Data'!$A$2:$A$301,0))</f>
        <v>Kiara Verma</v>
      </c>
      <c r="C151" s="17" t="str">
        <f>VLOOKUP($A151,'Raw Data'!$A$2:$C$301,3,FALSE)</f>
        <v>Marketing</v>
      </c>
      <c r="D151" s="17" t="str">
        <f>IF(ISBLANK('Raw Data'!F151),"Active","Resigned")</f>
        <v>Resigned</v>
      </c>
      <c r="E151" s="17">
        <f ca="1">DATEDIF('Raw Data'!E151,IF(ISBLANK('Raw Data'!F151),TODAY(),'Raw Data'!F151),"Y")</f>
        <v>0</v>
      </c>
      <c r="F151" s="17" t="str">
        <f>_xlfn.IFS('Raw Data'!D151&lt;30,"Under 30",'Raw Data'!D151&lt;=40,"30-40",'Raw Data'!D151&lt;=50,"41-50",TRUE(),"51+")</f>
        <v>41-50</v>
      </c>
      <c r="G151" s="38">
        <f>'Raw Data'!G151*12</f>
        <v>496800</v>
      </c>
      <c r="H151" s="17" t="str">
        <f t="shared" si="6"/>
        <v>Mid</v>
      </c>
      <c r="I151" s="17">
        <f t="shared" si="7"/>
        <v>190</v>
      </c>
      <c r="J151" s="17" t="str">
        <f t="shared" si="8"/>
        <v>Mar-EMP0150</v>
      </c>
      <c r="K151" s="39">
        <f ca="1">EOMONTH('Raw Data'!E151,12*(YEAR(TODAY())-YEAR('Raw Data'!E151))+3)</f>
        <v>46446</v>
      </c>
      <c r="L151" s="17" t="str">
        <f ca="1">IF(AND('Raw Data'!H151&gt;=4,D151="Active",E151&lt;2),"Watch","")</f>
        <v/>
      </c>
      <c r="M151" s="69" t="str">
        <f>IFERROR(VLOOKUP($A151,'Raw Data'!$A$2:$C$50,3,FALSE()),"Not in first 49 rows")</f>
        <v>Not in first 49 rows</v>
      </c>
    </row>
    <row r="152" spans="1:13" x14ac:dyDescent="0.3">
      <c r="A152" s="68" t="str">
        <f>'Raw Data'!A152</f>
        <v>EMP0151</v>
      </c>
      <c r="B152" s="17" t="str">
        <f>INDEX('Raw Data'!$B$2:$B$301, MATCH(A152,'Raw Data'!$A$2:$A$301,0))</f>
        <v>Pooja Menon</v>
      </c>
      <c r="C152" s="17" t="str">
        <f>VLOOKUP($A152,'Raw Data'!$A$2:$C$301,3,FALSE)</f>
        <v>Sales</v>
      </c>
      <c r="D152" s="17" t="str">
        <f>IF(ISBLANK('Raw Data'!F152),"Active","Resigned")</f>
        <v>Resigned</v>
      </c>
      <c r="E152" s="17">
        <f ca="1">DATEDIF('Raw Data'!E152,IF(ISBLANK('Raw Data'!F152),TODAY(),'Raw Data'!F152),"Y")</f>
        <v>3</v>
      </c>
      <c r="F152" s="17" t="str">
        <f>_xlfn.IFS('Raw Data'!D152&lt;30,"Under 30",'Raw Data'!D152&lt;=40,"30-40",'Raw Data'!D152&lt;=50,"41-50",TRUE(),"51+")</f>
        <v>41-50</v>
      </c>
      <c r="G152" s="38">
        <f>'Raw Data'!G152*12</f>
        <v>348000</v>
      </c>
      <c r="H152" s="17" t="str">
        <f t="shared" si="6"/>
        <v>Low</v>
      </c>
      <c r="I152" s="17">
        <f t="shared" si="7"/>
        <v>294</v>
      </c>
      <c r="J152" s="17" t="str">
        <f t="shared" si="8"/>
        <v>Sal-EMP0151</v>
      </c>
      <c r="K152" s="39">
        <f ca="1">EOMONTH('Raw Data'!E152,12*(YEAR(TODAY())-YEAR('Raw Data'!E152))+3)</f>
        <v>46356</v>
      </c>
      <c r="L152" s="17" t="str">
        <f ca="1">IF(AND('Raw Data'!H152&gt;=4,D152="Active",E152&lt;2),"Watch","")</f>
        <v/>
      </c>
      <c r="M152" s="69" t="str">
        <f>IFERROR(VLOOKUP($A152,'Raw Data'!$A$2:$C$50,3,FALSE()),"Not in first 49 rows")</f>
        <v>Not in first 49 rows</v>
      </c>
    </row>
    <row r="153" spans="1:13" x14ac:dyDescent="0.3">
      <c r="A153" s="68" t="str">
        <f>'Raw Data'!A153</f>
        <v>EMP0152</v>
      </c>
      <c r="B153" s="17" t="str">
        <f>INDEX('Raw Data'!$B$2:$B$301, MATCH(A153,'Raw Data'!$A$2:$A$301,0))</f>
        <v>Kavita Rao</v>
      </c>
      <c r="C153" s="17" t="str">
        <f>VLOOKUP($A153,'Raw Data'!$A$2:$C$301,3,FALSE)</f>
        <v>HR</v>
      </c>
      <c r="D153" s="17" t="str">
        <f>IF(ISBLANK('Raw Data'!F153),"Active","Resigned")</f>
        <v>Active</v>
      </c>
      <c r="E153" s="17">
        <f ca="1">DATEDIF('Raw Data'!E153,IF(ISBLANK('Raw Data'!F153),TODAY(),'Raw Data'!F153),"Y")</f>
        <v>9</v>
      </c>
      <c r="F153" s="17" t="str">
        <f>_xlfn.IFS('Raw Data'!D153&lt;30,"Under 30",'Raw Data'!D153&lt;=40,"30-40",'Raw Data'!D153&lt;=50,"41-50",TRUE(),"51+")</f>
        <v>Under 30</v>
      </c>
      <c r="G153" s="38">
        <f>'Raw Data'!G153*12</f>
        <v>555600</v>
      </c>
      <c r="H153" s="17" t="str">
        <f t="shared" si="6"/>
        <v>High</v>
      </c>
      <c r="I153" s="17">
        <f t="shared" si="7"/>
        <v>131</v>
      </c>
      <c r="J153" s="17" t="str">
        <f t="shared" si="8"/>
        <v>HR-EMP0152</v>
      </c>
      <c r="K153" s="39">
        <f ca="1">EOMONTH('Raw Data'!E153,12*(YEAR(TODAY())-YEAR('Raw Data'!E153))+3)</f>
        <v>46387</v>
      </c>
      <c r="L153" s="17" t="str">
        <f ca="1">IF(AND('Raw Data'!H153&gt;=4,D153="Active",E153&lt;2),"Watch","")</f>
        <v/>
      </c>
      <c r="M153" s="69" t="str">
        <f>IFERROR(VLOOKUP($A153,'Raw Data'!$A$2:$C$50,3,FALSE()),"Not in first 49 rows")</f>
        <v>Not in first 49 rows</v>
      </c>
    </row>
    <row r="154" spans="1:13" x14ac:dyDescent="0.3">
      <c r="A154" s="68" t="str">
        <f>'Raw Data'!A154</f>
        <v>EMP0153</v>
      </c>
      <c r="B154" s="17" t="str">
        <f>INDEX('Raw Data'!$B$2:$B$301, MATCH(A154,'Raw Data'!$A$2:$A$301,0))</f>
        <v>Ishaan Chopra</v>
      </c>
      <c r="C154" s="17" t="str">
        <f>VLOOKUP($A154,'Raw Data'!$A$2:$C$301,3,FALSE)</f>
        <v>Operations</v>
      </c>
      <c r="D154" s="17" t="str">
        <f>IF(ISBLANK('Raw Data'!F154),"Active","Resigned")</f>
        <v>Active</v>
      </c>
      <c r="E154" s="17">
        <f ca="1">DATEDIF('Raw Data'!E154,IF(ISBLANK('Raw Data'!F154),TODAY(),'Raw Data'!F154),"Y")</f>
        <v>9</v>
      </c>
      <c r="F154" s="17" t="str">
        <f>_xlfn.IFS('Raw Data'!D154&lt;30,"Under 30",'Raw Data'!D154&lt;=40,"30-40",'Raw Data'!D154&lt;=50,"41-50",TRUE(),"51+")</f>
        <v>41-50</v>
      </c>
      <c r="G154" s="38">
        <f>'Raw Data'!G154*12</f>
        <v>440400</v>
      </c>
      <c r="H154" s="17" t="str">
        <f t="shared" si="6"/>
        <v>Mid</v>
      </c>
      <c r="I154" s="17">
        <f t="shared" si="7"/>
        <v>236</v>
      </c>
      <c r="J154" s="17" t="str">
        <f t="shared" si="8"/>
        <v>Ope-EMP0153</v>
      </c>
      <c r="K154" s="39">
        <f ca="1">EOMONTH('Raw Data'!E154,12*(YEAR(TODAY())-YEAR('Raw Data'!E154))+3)</f>
        <v>46418</v>
      </c>
      <c r="L154" s="17" t="str">
        <f ca="1">IF(AND('Raw Data'!H154&gt;=4,D154="Active",E154&lt;2),"Watch","")</f>
        <v/>
      </c>
      <c r="M154" s="69" t="str">
        <f>IFERROR(VLOOKUP($A154,'Raw Data'!$A$2:$C$50,3,FALSE()),"Not in first 49 rows")</f>
        <v>Not in first 49 rows</v>
      </c>
    </row>
    <row r="155" spans="1:13" x14ac:dyDescent="0.3">
      <c r="A155" s="68" t="str">
        <f>'Raw Data'!A155</f>
        <v>EMP0154</v>
      </c>
      <c r="B155" s="17" t="str">
        <f>INDEX('Raw Data'!$B$2:$B$301, MATCH(A155,'Raw Data'!$A$2:$A$301,0))</f>
        <v>Rohan Iyer</v>
      </c>
      <c r="C155" s="17" t="str">
        <f>VLOOKUP($A155,'Raw Data'!$A$2:$C$301,3,FALSE)</f>
        <v>IT</v>
      </c>
      <c r="D155" s="17" t="str">
        <f>IF(ISBLANK('Raw Data'!F155),"Active","Resigned")</f>
        <v>Active</v>
      </c>
      <c r="E155" s="17">
        <f ca="1">DATEDIF('Raw Data'!E155,IF(ISBLANK('Raw Data'!F155),TODAY(),'Raw Data'!F155),"Y")</f>
        <v>2</v>
      </c>
      <c r="F155" s="17" t="str">
        <f>_xlfn.IFS('Raw Data'!D155&lt;30,"Under 30",'Raw Data'!D155&lt;=40,"30-40",'Raw Data'!D155&lt;=50,"41-50",TRUE(),"51+")</f>
        <v>51+</v>
      </c>
      <c r="G155" s="38">
        <f>'Raw Data'!G155*12</f>
        <v>814800</v>
      </c>
      <c r="H155" s="17" t="str">
        <f t="shared" si="6"/>
        <v>Premium</v>
      </c>
      <c r="I155" s="17">
        <f t="shared" si="7"/>
        <v>1</v>
      </c>
      <c r="J155" s="17" t="str">
        <f t="shared" si="8"/>
        <v>IT-EMP0154</v>
      </c>
      <c r="K155" s="39">
        <f ca="1">EOMONTH('Raw Data'!E155,12*(YEAR(TODAY())-YEAR('Raw Data'!E155))+3)</f>
        <v>46477</v>
      </c>
      <c r="L155" s="17" t="str">
        <f ca="1">IF(AND('Raw Data'!H155&gt;=4,D155="Active",E155&lt;2),"Watch","")</f>
        <v/>
      </c>
      <c r="M155" s="69" t="str">
        <f>IFERROR(VLOOKUP($A155,'Raw Data'!$A$2:$C$50,3,FALSE()),"Not in first 49 rows")</f>
        <v>Not in first 49 rows</v>
      </c>
    </row>
    <row r="156" spans="1:13" x14ac:dyDescent="0.3">
      <c r="A156" s="68" t="str">
        <f>'Raw Data'!A156</f>
        <v>EMP0155</v>
      </c>
      <c r="B156" s="17" t="str">
        <f>INDEX('Raw Data'!$B$2:$B$301, MATCH(A156,'Raw Data'!$A$2:$A$301,0))</f>
        <v>Rajesh Bhat</v>
      </c>
      <c r="C156" s="17" t="str">
        <f>VLOOKUP($A156,'Raw Data'!$A$2:$C$301,3,FALSE)</f>
        <v>IT</v>
      </c>
      <c r="D156" s="17" t="str">
        <f>IF(ISBLANK('Raw Data'!F156),"Active","Resigned")</f>
        <v>Active</v>
      </c>
      <c r="E156" s="17">
        <f ca="1">DATEDIF('Raw Data'!E156,IF(ISBLANK('Raw Data'!F156),TODAY(),'Raw Data'!F156),"Y")</f>
        <v>9</v>
      </c>
      <c r="F156" s="17" t="str">
        <f>_xlfn.IFS('Raw Data'!D156&lt;30,"Under 30",'Raw Data'!D156&lt;=40,"30-40",'Raw Data'!D156&lt;=50,"41-50",TRUE(),"51+")</f>
        <v>41-50</v>
      </c>
      <c r="G156" s="38">
        <f>'Raw Data'!G156*12</f>
        <v>560400</v>
      </c>
      <c r="H156" s="17" t="str">
        <f t="shared" si="6"/>
        <v>High</v>
      </c>
      <c r="I156" s="17">
        <f t="shared" si="7"/>
        <v>127</v>
      </c>
      <c r="J156" s="17" t="str">
        <f t="shared" si="8"/>
        <v>IT-EMP0155</v>
      </c>
      <c r="K156" s="39">
        <f ca="1">EOMONTH('Raw Data'!E156,12*(YEAR(TODAY())-YEAR('Raw Data'!E156))+3)</f>
        <v>46173</v>
      </c>
      <c r="L156" s="17" t="str">
        <f ca="1">IF(AND('Raw Data'!H156&gt;=4,D156="Active",E156&lt;2),"Watch","")</f>
        <v/>
      </c>
      <c r="M156" s="69" t="str">
        <f>IFERROR(VLOOKUP($A156,'Raw Data'!$A$2:$C$50,3,FALSE()),"Not in first 49 rows")</f>
        <v>Not in first 49 rows</v>
      </c>
    </row>
    <row r="157" spans="1:13" x14ac:dyDescent="0.3">
      <c r="A157" s="68" t="str">
        <f>'Raw Data'!A157</f>
        <v>EMP0156</v>
      </c>
      <c r="B157" s="17" t="str">
        <f>INDEX('Raw Data'!$B$2:$B$301, MATCH(A157,'Raw Data'!$A$2:$A$301,0))</f>
        <v>Meera Reddy</v>
      </c>
      <c r="C157" s="17" t="str">
        <f>VLOOKUP($A157,'Raw Data'!$A$2:$C$301,3,FALSE)</f>
        <v>HR</v>
      </c>
      <c r="D157" s="17" t="str">
        <f>IF(ISBLANK('Raw Data'!F157),"Active","Resigned")</f>
        <v>Active</v>
      </c>
      <c r="E157" s="17">
        <f ca="1">DATEDIF('Raw Data'!E157,IF(ISBLANK('Raw Data'!F157),TODAY(),'Raw Data'!F157),"Y")</f>
        <v>7</v>
      </c>
      <c r="F157" s="17" t="str">
        <f>_xlfn.IFS('Raw Data'!D157&lt;30,"Under 30",'Raw Data'!D157&lt;=40,"30-40",'Raw Data'!D157&lt;=50,"41-50",TRUE(),"51+")</f>
        <v>41-50</v>
      </c>
      <c r="G157" s="38">
        <f>'Raw Data'!G157*12</f>
        <v>550800</v>
      </c>
      <c r="H157" s="17" t="str">
        <f t="shared" si="6"/>
        <v>High</v>
      </c>
      <c r="I157" s="17">
        <f t="shared" si="7"/>
        <v>137</v>
      </c>
      <c r="J157" s="17" t="str">
        <f t="shared" si="8"/>
        <v>HR-EMP0156</v>
      </c>
      <c r="K157" s="39">
        <f ca="1">EOMONTH('Raw Data'!E157,12*(YEAR(TODAY())-YEAR('Raw Data'!E157))+3)</f>
        <v>46326</v>
      </c>
      <c r="L157" s="17" t="str">
        <f ca="1">IF(AND('Raw Data'!H157&gt;=4,D157="Active",E157&lt;2),"Watch","")</f>
        <v/>
      </c>
      <c r="M157" s="69" t="str">
        <f>IFERROR(VLOOKUP($A157,'Raw Data'!$A$2:$C$50,3,FALSE()),"Not in first 49 rows")</f>
        <v>Not in first 49 rows</v>
      </c>
    </row>
    <row r="158" spans="1:13" x14ac:dyDescent="0.3">
      <c r="A158" s="68" t="str">
        <f>'Raw Data'!A158</f>
        <v>EMP0157</v>
      </c>
      <c r="B158" s="17" t="str">
        <f>INDEX('Raw Data'!$B$2:$B$301, MATCH(A158,'Raw Data'!$A$2:$A$301,0))</f>
        <v>Ishaan Mehta</v>
      </c>
      <c r="C158" s="17" t="str">
        <f>VLOOKUP($A158,'Raw Data'!$A$2:$C$301,3,FALSE)</f>
        <v>HR</v>
      </c>
      <c r="D158" s="17" t="str">
        <f>IF(ISBLANK('Raw Data'!F158),"Active","Resigned")</f>
        <v>Resigned</v>
      </c>
      <c r="E158" s="17">
        <f ca="1">DATEDIF('Raw Data'!E158,IF(ISBLANK('Raw Data'!F158),TODAY(),'Raw Data'!F158),"Y")</f>
        <v>1</v>
      </c>
      <c r="F158" s="17" t="str">
        <f>_xlfn.IFS('Raw Data'!D158&lt;30,"Under 30",'Raw Data'!D158&lt;=40,"30-40",'Raw Data'!D158&lt;=50,"41-50",TRUE(),"51+")</f>
        <v>41-50</v>
      </c>
      <c r="G158" s="38">
        <f>'Raw Data'!G158*12</f>
        <v>510000</v>
      </c>
      <c r="H158" s="17" t="str">
        <f t="shared" si="6"/>
        <v>Mid</v>
      </c>
      <c r="I158" s="17">
        <f t="shared" si="7"/>
        <v>177</v>
      </c>
      <c r="J158" s="17" t="str">
        <f t="shared" si="8"/>
        <v>HR-EMP0157</v>
      </c>
      <c r="K158" s="39">
        <f ca="1">EOMONTH('Raw Data'!E158,12*(YEAR(TODAY())-YEAR('Raw Data'!E158))+3)</f>
        <v>46295</v>
      </c>
      <c r="L158" s="17" t="str">
        <f ca="1">IF(AND('Raw Data'!H158&gt;=4,D158="Active",E158&lt;2),"Watch","")</f>
        <v/>
      </c>
      <c r="M158" s="69" t="str">
        <f>IFERROR(VLOOKUP($A158,'Raw Data'!$A$2:$C$50,3,FALSE()),"Not in first 49 rows")</f>
        <v>Not in first 49 rows</v>
      </c>
    </row>
    <row r="159" spans="1:13" x14ac:dyDescent="0.3">
      <c r="A159" s="68" t="str">
        <f>'Raw Data'!A159</f>
        <v>EMP0158</v>
      </c>
      <c r="B159" s="17" t="str">
        <f>INDEX('Raw Data'!$B$2:$B$301, MATCH(A159,'Raw Data'!$A$2:$A$301,0))</f>
        <v>Reyansh Gupta</v>
      </c>
      <c r="C159" s="17" t="str">
        <f>VLOOKUP($A159,'Raw Data'!$A$2:$C$301,3,FALSE)</f>
        <v>Sales</v>
      </c>
      <c r="D159" s="17" t="str">
        <f>IF(ISBLANK('Raw Data'!F159),"Active","Resigned")</f>
        <v>Active</v>
      </c>
      <c r="E159" s="17">
        <f ca="1">DATEDIF('Raw Data'!E159,IF(ISBLANK('Raw Data'!F159),TODAY(),'Raw Data'!F159),"Y")</f>
        <v>9</v>
      </c>
      <c r="F159" s="17" t="str">
        <f>_xlfn.IFS('Raw Data'!D159&lt;30,"Under 30",'Raw Data'!D159&lt;=40,"30-40",'Raw Data'!D159&lt;=50,"41-50",TRUE(),"51+")</f>
        <v>41-50</v>
      </c>
      <c r="G159" s="38">
        <f>'Raw Data'!G159*12</f>
        <v>442800</v>
      </c>
      <c r="H159" s="17" t="str">
        <f t="shared" si="6"/>
        <v>Mid</v>
      </c>
      <c r="I159" s="17">
        <f t="shared" si="7"/>
        <v>233</v>
      </c>
      <c r="J159" s="17" t="str">
        <f t="shared" si="8"/>
        <v>Sal-EMP0158</v>
      </c>
      <c r="K159" s="39">
        <f ca="1">EOMONTH('Raw Data'!E159,12*(YEAR(TODAY())-YEAR('Raw Data'!E159))+3)</f>
        <v>46142</v>
      </c>
      <c r="L159" s="17" t="str">
        <f ca="1">IF(AND('Raw Data'!H159&gt;=4,D159="Active",E159&lt;2),"Watch","")</f>
        <v/>
      </c>
      <c r="M159" s="69" t="str">
        <f>IFERROR(VLOOKUP($A159,'Raw Data'!$A$2:$C$50,3,FALSE()),"Not in first 49 rows")</f>
        <v>Not in first 49 rows</v>
      </c>
    </row>
    <row r="160" spans="1:13" x14ac:dyDescent="0.3">
      <c r="A160" s="68" t="str">
        <f>'Raw Data'!A160</f>
        <v>EMP0159</v>
      </c>
      <c r="B160" s="17" t="str">
        <f>INDEX('Raw Data'!$B$2:$B$301, MATCH(A160,'Raw Data'!$A$2:$A$301,0))</f>
        <v>Vihaan Menon</v>
      </c>
      <c r="C160" s="17" t="str">
        <f>VLOOKUP($A160,'Raw Data'!$A$2:$C$301,3,FALSE)</f>
        <v>IT</v>
      </c>
      <c r="D160" s="17" t="str">
        <f>IF(ISBLANK('Raw Data'!F160),"Active","Resigned")</f>
        <v>Active</v>
      </c>
      <c r="E160" s="17">
        <f ca="1">DATEDIF('Raw Data'!E160,IF(ISBLANK('Raw Data'!F160),TODAY(),'Raw Data'!F160),"Y")</f>
        <v>6</v>
      </c>
      <c r="F160" s="17" t="str">
        <f>_xlfn.IFS('Raw Data'!D160&lt;30,"Under 30",'Raw Data'!D160&lt;=40,"30-40",'Raw Data'!D160&lt;=50,"41-50",TRUE(),"51+")</f>
        <v>51+</v>
      </c>
      <c r="G160" s="38">
        <f>'Raw Data'!G160*12</f>
        <v>646800</v>
      </c>
      <c r="H160" s="17" t="str">
        <f t="shared" si="6"/>
        <v>High</v>
      </c>
      <c r="I160" s="17">
        <f t="shared" si="7"/>
        <v>49</v>
      </c>
      <c r="J160" s="17" t="str">
        <f t="shared" si="8"/>
        <v>IT-EMP0159</v>
      </c>
      <c r="K160" s="39">
        <f ca="1">EOMONTH('Raw Data'!E160,12*(YEAR(TODAY())-YEAR('Raw Data'!E160))+3)</f>
        <v>46387</v>
      </c>
      <c r="L160" s="17" t="str">
        <f ca="1">IF(AND('Raw Data'!H160&gt;=4,D160="Active",E160&lt;2),"Watch","")</f>
        <v/>
      </c>
      <c r="M160" s="69" t="str">
        <f>IFERROR(VLOOKUP($A160,'Raw Data'!$A$2:$C$50,3,FALSE()),"Not in first 49 rows")</f>
        <v>Not in first 49 rows</v>
      </c>
    </row>
    <row r="161" spans="1:13" x14ac:dyDescent="0.3">
      <c r="A161" s="68" t="str">
        <f>'Raw Data'!A161</f>
        <v>EMP0160</v>
      </c>
      <c r="B161" s="17" t="str">
        <f>INDEX('Raw Data'!$B$2:$B$301, MATCH(A161,'Raw Data'!$A$2:$A$301,0))</f>
        <v>Anil Verma</v>
      </c>
      <c r="C161" s="17" t="str">
        <f>VLOOKUP($A161,'Raw Data'!$A$2:$C$301,3,FALSE)</f>
        <v>Finance</v>
      </c>
      <c r="D161" s="17" t="str">
        <f>IF(ISBLANK('Raw Data'!F161),"Active","Resigned")</f>
        <v>Resigned</v>
      </c>
      <c r="E161" s="17">
        <f ca="1">DATEDIF('Raw Data'!E161,IF(ISBLANK('Raw Data'!F161),TODAY(),'Raw Data'!F161),"Y")</f>
        <v>5</v>
      </c>
      <c r="F161" s="17" t="str">
        <f>_xlfn.IFS('Raw Data'!D161&lt;30,"Under 30",'Raw Data'!D161&lt;=40,"30-40",'Raw Data'!D161&lt;=50,"41-50",TRUE(),"51+")</f>
        <v>41-50</v>
      </c>
      <c r="G161" s="38">
        <f>'Raw Data'!G161*12</f>
        <v>553200</v>
      </c>
      <c r="H161" s="17" t="str">
        <f t="shared" si="6"/>
        <v>High</v>
      </c>
      <c r="I161" s="17">
        <f t="shared" si="7"/>
        <v>132</v>
      </c>
      <c r="J161" s="17" t="str">
        <f t="shared" si="8"/>
        <v>Fin-EMP0160</v>
      </c>
      <c r="K161" s="39">
        <f ca="1">EOMONTH('Raw Data'!E161,12*(YEAR(TODAY())-YEAR('Raw Data'!E161))+3)</f>
        <v>46477</v>
      </c>
      <c r="L161" s="17" t="str">
        <f ca="1">IF(AND('Raw Data'!H161&gt;=4,D161="Active",E161&lt;2),"Watch","")</f>
        <v/>
      </c>
      <c r="M161" s="69" t="str">
        <f>IFERROR(VLOOKUP($A161,'Raw Data'!$A$2:$C$50,3,FALSE()),"Not in first 49 rows")</f>
        <v>Not in first 49 rows</v>
      </c>
    </row>
    <row r="162" spans="1:13" x14ac:dyDescent="0.3">
      <c r="A162" s="68" t="str">
        <f>'Raw Data'!A162</f>
        <v>EMP0161</v>
      </c>
      <c r="B162" s="17" t="str">
        <f>INDEX('Raw Data'!$B$2:$B$301, MATCH(A162,'Raw Data'!$A$2:$A$301,0))</f>
        <v>Myra Kumar</v>
      </c>
      <c r="C162" s="17" t="str">
        <f>VLOOKUP($A162,'Raw Data'!$A$2:$C$301,3,FALSE)</f>
        <v>Finance</v>
      </c>
      <c r="D162" s="17" t="str">
        <f>IF(ISBLANK('Raw Data'!F162),"Active","Resigned")</f>
        <v>Resigned</v>
      </c>
      <c r="E162" s="17">
        <f ca="1">DATEDIF('Raw Data'!E162,IF(ISBLANK('Raw Data'!F162),TODAY(),'Raw Data'!F162),"Y")</f>
        <v>3</v>
      </c>
      <c r="F162" s="17" t="str">
        <f>_xlfn.IFS('Raw Data'!D162&lt;30,"Under 30",'Raw Data'!D162&lt;=40,"30-40",'Raw Data'!D162&lt;=50,"41-50",TRUE(),"51+")</f>
        <v>51+</v>
      </c>
      <c r="G162" s="38">
        <f>'Raw Data'!G162*12</f>
        <v>657600</v>
      </c>
      <c r="H162" s="17" t="str">
        <f t="shared" si="6"/>
        <v>High</v>
      </c>
      <c r="I162" s="17">
        <f t="shared" si="7"/>
        <v>43</v>
      </c>
      <c r="J162" s="17" t="str">
        <f t="shared" si="8"/>
        <v>Fin-EMP0161</v>
      </c>
      <c r="K162" s="39">
        <f ca="1">EOMONTH('Raw Data'!E162,12*(YEAR(TODAY())-YEAR('Raw Data'!E162))+3)</f>
        <v>46173</v>
      </c>
      <c r="L162" s="17" t="str">
        <f ca="1">IF(AND('Raw Data'!H162&gt;=4,D162="Active",E162&lt;2),"Watch","")</f>
        <v/>
      </c>
      <c r="M162" s="69" t="str">
        <f>IFERROR(VLOOKUP($A162,'Raw Data'!$A$2:$C$50,3,FALSE()),"Not in first 49 rows")</f>
        <v>Not in first 49 rows</v>
      </c>
    </row>
    <row r="163" spans="1:13" x14ac:dyDescent="0.3">
      <c r="A163" s="68" t="str">
        <f>'Raw Data'!A163</f>
        <v>EMP0162</v>
      </c>
      <c r="B163" s="17" t="str">
        <f>INDEX('Raw Data'!$B$2:$B$301, MATCH(A163,'Raw Data'!$A$2:$A$301,0))</f>
        <v>Meera Agarwal</v>
      </c>
      <c r="C163" s="17" t="str">
        <f>VLOOKUP($A163,'Raw Data'!$A$2:$C$301,3,FALSE)</f>
        <v>IT</v>
      </c>
      <c r="D163" s="17" t="str">
        <f>IF(ISBLANK('Raw Data'!F163),"Active","Resigned")</f>
        <v>Active</v>
      </c>
      <c r="E163" s="17">
        <f ca="1">DATEDIF('Raw Data'!E163,IF(ISBLANK('Raw Data'!F163),TODAY(),'Raw Data'!F163),"Y")</f>
        <v>10</v>
      </c>
      <c r="F163" s="17" t="str">
        <f>_xlfn.IFS('Raw Data'!D163&lt;30,"Under 30",'Raw Data'!D163&lt;=40,"30-40",'Raw Data'!D163&lt;=50,"41-50",TRUE(),"51+")</f>
        <v>51+</v>
      </c>
      <c r="G163" s="38">
        <f>'Raw Data'!G163*12</f>
        <v>717600</v>
      </c>
      <c r="H163" s="17" t="str">
        <f t="shared" si="6"/>
        <v>Premium</v>
      </c>
      <c r="I163" s="17">
        <f t="shared" si="7"/>
        <v>24</v>
      </c>
      <c r="J163" s="17" t="str">
        <f t="shared" si="8"/>
        <v>IT-EMP0162</v>
      </c>
      <c r="K163" s="39">
        <f ca="1">EOMONTH('Raw Data'!E163,12*(YEAR(TODAY())-YEAR('Raw Data'!E163))+3)</f>
        <v>46234</v>
      </c>
      <c r="L163" s="17" t="str">
        <f ca="1">IF(AND('Raw Data'!H163&gt;=4,D163="Active",E163&lt;2),"Watch","")</f>
        <v/>
      </c>
      <c r="M163" s="69" t="str">
        <f>IFERROR(VLOOKUP($A163,'Raw Data'!$A$2:$C$50,3,FALSE()),"Not in first 49 rows")</f>
        <v>Not in first 49 rows</v>
      </c>
    </row>
    <row r="164" spans="1:13" x14ac:dyDescent="0.3">
      <c r="A164" s="68" t="str">
        <f>'Raw Data'!A164</f>
        <v>EMP0163</v>
      </c>
      <c r="B164" s="17" t="str">
        <f>INDEX('Raw Data'!$B$2:$B$301, MATCH(A164,'Raw Data'!$A$2:$A$301,0))</f>
        <v>Vivaan Patel</v>
      </c>
      <c r="C164" s="17" t="str">
        <f>VLOOKUP($A164,'Raw Data'!$A$2:$C$301,3,FALSE)</f>
        <v>Finance</v>
      </c>
      <c r="D164" s="17" t="str">
        <f>IF(ISBLANK('Raw Data'!F164),"Active","Resigned")</f>
        <v>Active</v>
      </c>
      <c r="E164" s="17">
        <f ca="1">DATEDIF('Raw Data'!E164,IF(ISBLANK('Raw Data'!F164),TODAY(),'Raw Data'!F164),"Y")</f>
        <v>6</v>
      </c>
      <c r="F164" s="17" t="str">
        <f>_xlfn.IFS('Raw Data'!D164&lt;30,"Under 30",'Raw Data'!D164&lt;=40,"30-40",'Raw Data'!D164&lt;=50,"41-50",TRUE(),"51+")</f>
        <v>41-50</v>
      </c>
      <c r="G164" s="38">
        <f>'Raw Data'!G164*12</f>
        <v>544800</v>
      </c>
      <c r="H164" s="17" t="str">
        <f t="shared" si="6"/>
        <v>High</v>
      </c>
      <c r="I164" s="17">
        <f t="shared" si="7"/>
        <v>142</v>
      </c>
      <c r="J164" s="17" t="str">
        <f t="shared" si="8"/>
        <v>Fin-EMP0163</v>
      </c>
      <c r="K164" s="39">
        <f ca="1">EOMONTH('Raw Data'!E164,12*(YEAR(TODAY())-YEAR('Raw Data'!E164))+3)</f>
        <v>46418</v>
      </c>
      <c r="L164" s="17" t="str">
        <f ca="1">IF(AND('Raw Data'!H164&gt;=4,D164="Active",E164&lt;2),"Watch","")</f>
        <v/>
      </c>
      <c r="M164" s="69" t="str">
        <f>IFERROR(VLOOKUP($A164,'Raw Data'!$A$2:$C$50,3,FALSE()),"Not in first 49 rows")</f>
        <v>Not in first 49 rows</v>
      </c>
    </row>
    <row r="165" spans="1:13" x14ac:dyDescent="0.3">
      <c r="A165" s="68" t="str">
        <f>'Raw Data'!A165</f>
        <v>EMP0164</v>
      </c>
      <c r="B165" s="17" t="str">
        <f>INDEX('Raw Data'!$B$2:$B$301, MATCH(A165,'Raw Data'!$A$2:$A$301,0))</f>
        <v>Manoj Gupta</v>
      </c>
      <c r="C165" s="17" t="str">
        <f>VLOOKUP($A165,'Raw Data'!$A$2:$C$301,3,FALSE)</f>
        <v>Marketing</v>
      </c>
      <c r="D165" s="17" t="str">
        <f>IF(ISBLANK('Raw Data'!F165),"Active","Resigned")</f>
        <v>Active</v>
      </c>
      <c r="E165" s="17">
        <f ca="1">DATEDIF('Raw Data'!E165,IF(ISBLANK('Raw Data'!F165),TODAY(),'Raw Data'!F165),"Y")</f>
        <v>9</v>
      </c>
      <c r="F165" s="17" t="str">
        <f>_xlfn.IFS('Raw Data'!D165&lt;30,"Under 30",'Raw Data'!D165&lt;=40,"30-40",'Raw Data'!D165&lt;=50,"41-50",TRUE(),"51+")</f>
        <v>Under 30</v>
      </c>
      <c r="G165" s="38">
        <f>'Raw Data'!G165*12</f>
        <v>422400</v>
      </c>
      <c r="H165" s="17" t="str">
        <f t="shared" si="6"/>
        <v>Mid</v>
      </c>
      <c r="I165" s="17">
        <f t="shared" si="7"/>
        <v>250</v>
      </c>
      <c r="J165" s="17" t="str">
        <f t="shared" si="8"/>
        <v>Mar-EMP0164</v>
      </c>
      <c r="K165" s="39">
        <f ca="1">EOMONTH('Raw Data'!E165,12*(YEAR(TODAY())-YEAR('Raw Data'!E165))+3)</f>
        <v>46142</v>
      </c>
      <c r="L165" s="17" t="str">
        <f ca="1">IF(AND('Raw Data'!H165&gt;=4,D165="Active",E165&lt;2),"Watch","")</f>
        <v/>
      </c>
      <c r="M165" s="69" t="str">
        <f>IFERROR(VLOOKUP($A165,'Raw Data'!$A$2:$C$50,3,FALSE()),"Not in first 49 rows")</f>
        <v>Not in first 49 rows</v>
      </c>
    </row>
    <row r="166" spans="1:13" x14ac:dyDescent="0.3">
      <c r="A166" s="68" t="str">
        <f>'Raw Data'!A166</f>
        <v>EMP0165</v>
      </c>
      <c r="B166" s="17" t="str">
        <f>INDEX('Raw Data'!$B$2:$B$301, MATCH(A166,'Raw Data'!$A$2:$A$301,0))</f>
        <v>Amit Patel</v>
      </c>
      <c r="C166" s="17" t="str">
        <f>VLOOKUP($A166,'Raw Data'!$A$2:$C$301,3,FALSE)</f>
        <v>Finance</v>
      </c>
      <c r="D166" s="17" t="str">
        <f>IF(ISBLANK('Raw Data'!F166),"Active","Resigned")</f>
        <v>Active</v>
      </c>
      <c r="E166" s="17">
        <f ca="1">DATEDIF('Raw Data'!E166,IF(ISBLANK('Raw Data'!F166),TODAY(),'Raw Data'!F166),"Y")</f>
        <v>2</v>
      </c>
      <c r="F166" s="17" t="str">
        <f>_xlfn.IFS('Raw Data'!D166&lt;30,"Under 30",'Raw Data'!D166&lt;=40,"30-40",'Raw Data'!D166&lt;=50,"41-50",TRUE(),"51+")</f>
        <v>41-50</v>
      </c>
      <c r="G166" s="38">
        <f>'Raw Data'!G166*12</f>
        <v>763200</v>
      </c>
      <c r="H166" s="17" t="str">
        <f t="shared" si="6"/>
        <v>Premium</v>
      </c>
      <c r="I166" s="17">
        <f t="shared" si="7"/>
        <v>14</v>
      </c>
      <c r="J166" s="17" t="str">
        <f t="shared" si="8"/>
        <v>Fin-EMP0165</v>
      </c>
      <c r="K166" s="39">
        <f ca="1">EOMONTH('Raw Data'!E166,12*(YEAR(TODAY())-YEAR('Raw Data'!E166))+3)</f>
        <v>46173</v>
      </c>
      <c r="L166" s="17" t="str">
        <f ca="1">IF(AND('Raw Data'!H166&gt;=4,D166="Active",E166&lt;2),"Watch","")</f>
        <v/>
      </c>
      <c r="M166" s="69" t="str">
        <f>IFERROR(VLOOKUP($A166,'Raw Data'!$A$2:$C$50,3,FALSE()),"Not in first 49 rows")</f>
        <v>Not in first 49 rows</v>
      </c>
    </row>
    <row r="167" spans="1:13" x14ac:dyDescent="0.3">
      <c r="A167" s="68" t="str">
        <f>'Raw Data'!A167</f>
        <v>EMP0166</v>
      </c>
      <c r="B167" s="17" t="str">
        <f>INDEX('Raw Data'!$B$2:$B$301, MATCH(A167,'Raw Data'!$A$2:$A$301,0))</f>
        <v>Vihaan Singh</v>
      </c>
      <c r="C167" s="17" t="str">
        <f>VLOOKUP($A167,'Raw Data'!$A$2:$C$301,3,FALSE)</f>
        <v>Marketing</v>
      </c>
      <c r="D167" s="17" t="str">
        <f>IF(ISBLANK('Raw Data'!F167),"Active","Resigned")</f>
        <v>Resigned</v>
      </c>
      <c r="E167" s="17">
        <f ca="1">DATEDIF('Raw Data'!E167,IF(ISBLANK('Raw Data'!F167),TODAY(),'Raw Data'!F167),"Y")</f>
        <v>1</v>
      </c>
      <c r="F167" s="17" t="str">
        <f>_xlfn.IFS('Raw Data'!D167&lt;30,"Under 30",'Raw Data'!D167&lt;=40,"30-40",'Raw Data'!D167&lt;=50,"41-50",TRUE(),"51+")</f>
        <v>Under 30</v>
      </c>
      <c r="G167" s="38">
        <f>'Raw Data'!G167*12</f>
        <v>550800</v>
      </c>
      <c r="H167" s="17" t="str">
        <f t="shared" si="6"/>
        <v>High</v>
      </c>
      <c r="I167" s="17">
        <f t="shared" si="7"/>
        <v>137</v>
      </c>
      <c r="J167" s="17" t="str">
        <f t="shared" si="8"/>
        <v>Mar-EMP0166</v>
      </c>
      <c r="K167" s="39">
        <f ca="1">EOMONTH('Raw Data'!E167,12*(YEAR(TODAY())-YEAR('Raw Data'!E167))+3)</f>
        <v>46326</v>
      </c>
      <c r="L167" s="17" t="str">
        <f ca="1">IF(AND('Raw Data'!H167&gt;=4,D167="Active",E167&lt;2),"Watch","")</f>
        <v/>
      </c>
      <c r="M167" s="69" t="str">
        <f>IFERROR(VLOOKUP($A167,'Raw Data'!$A$2:$C$50,3,FALSE()),"Not in first 49 rows")</f>
        <v>Not in first 49 rows</v>
      </c>
    </row>
    <row r="168" spans="1:13" x14ac:dyDescent="0.3">
      <c r="A168" s="68" t="str">
        <f>'Raw Data'!A168</f>
        <v>EMP0167</v>
      </c>
      <c r="B168" s="17" t="str">
        <f>INDEX('Raw Data'!$B$2:$B$301, MATCH(A168,'Raw Data'!$A$2:$A$301,0))</f>
        <v>Deepak Kapoor</v>
      </c>
      <c r="C168" s="17" t="str">
        <f>VLOOKUP($A168,'Raw Data'!$A$2:$C$301,3,FALSE)</f>
        <v>Finance</v>
      </c>
      <c r="D168" s="17" t="str">
        <f>IF(ISBLANK('Raw Data'!F168),"Active","Resigned")</f>
        <v>Active</v>
      </c>
      <c r="E168" s="17">
        <f ca="1">DATEDIF('Raw Data'!E168,IF(ISBLANK('Raw Data'!F168),TODAY(),'Raw Data'!F168),"Y")</f>
        <v>2</v>
      </c>
      <c r="F168" s="17" t="str">
        <f>_xlfn.IFS('Raw Data'!D168&lt;30,"Under 30",'Raw Data'!D168&lt;=40,"30-40",'Raw Data'!D168&lt;=50,"41-50",TRUE(),"51+")</f>
        <v>30-40</v>
      </c>
      <c r="G168" s="38">
        <f>'Raw Data'!G168*12</f>
        <v>591600</v>
      </c>
      <c r="H168" s="17" t="str">
        <f t="shared" si="6"/>
        <v>High</v>
      </c>
      <c r="I168" s="17">
        <f t="shared" si="7"/>
        <v>103</v>
      </c>
      <c r="J168" s="17" t="str">
        <f t="shared" si="8"/>
        <v>Fin-EMP0167</v>
      </c>
      <c r="K168" s="39">
        <f ca="1">EOMONTH('Raw Data'!E168,12*(YEAR(TODAY())-YEAR('Raw Data'!E168))+3)</f>
        <v>46295</v>
      </c>
      <c r="L168" s="17" t="str">
        <f ca="1">IF(AND('Raw Data'!H168&gt;=4,D168="Active",E168&lt;2),"Watch","")</f>
        <v/>
      </c>
      <c r="M168" s="69" t="str">
        <f>IFERROR(VLOOKUP($A168,'Raw Data'!$A$2:$C$50,3,FALSE()),"Not in first 49 rows")</f>
        <v>Not in first 49 rows</v>
      </c>
    </row>
    <row r="169" spans="1:13" x14ac:dyDescent="0.3">
      <c r="A169" s="68" t="str">
        <f>'Raw Data'!A169</f>
        <v>EMP0168</v>
      </c>
      <c r="B169" s="17" t="str">
        <f>INDEX('Raw Data'!$B$2:$B$301, MATCH(A169,'Raw Data'!$A$2:$A$301,0))</f>
        <v>Shreya Chopra</v>
      </c>
      <c r="C169" s="17" t="str">
        <f>VLOOKUP($A169,'Raw Data'!$A$2:$C$301,3,FALSE)</f>
        <v>IT</v>
      </c>
      <c r="D169" s="17" t="str">
        <f>IF(ISBLANK('Raw Data'!F169),"Active","Resigned")</f>
        <v>Resigned</v>
      </c>
      <c r="E169" s="17">
        <f ca="1">DATEDIF('Raw Data'!E169,IF(ISBLANK('Raw Data'!F169),TODAY(),'Raw Data'!F169),"Y")</f>
        <v>6</v>
      </c>
      <c r="F169" s="17" t="str">
        <f>_xlfn.IFS('Raw Data'!D169&lt;30,"Under 30",'Raw Data'!D169&lt;=40,"30-40",'Raw Data'!D169&lt;=50,"41-50",TRUE(),"51+")</f>
        <v>41-50</v>
      </c>
      <c r="G169" s="38">
        <f>'Raw Data'!G169*12</f>
        <v>543600</v>
      </c>
      <c r="H169" s="17" t="str">
        <f t="shared" si="6"/>
        <v>High</v>
      </c>
      <c r="I169" s="17">
        <f t="shared" si="7"/>
        <v>147</v>
      </c>
      <c r="J169" s="17" t="str">
        <f t="shared" si="8"/>
        <v>IT-EMP0168</v>
      </c>
      <c r="K169" s="39">
        <f ca="1">EOMONTH('Raw Data'!E169,12*(YEAR(TODAY())-YEAR('Raw Data'!E169))+3)</f>
        <v>46326</v>
      </c>
      <c r="L169" s="17" t="str">
        <f ca="1">IF(AND('Raw Data'!H169&gt;=4,D169="Active",E169&lt;2),"Watch","")</f>
        <v/>
      </c>
      <c r="M169" s="69" t="str">
        <f>IFERROR(VLOOKUP($A169,'Raw Data'!$A$2:$C$50,3,FALSE()),"Not in first 49 rows")</f>
        <v>Not in first 49 rows</v>
      </c>
    </row>
    <row r="170" spans="1:13" x14ac:dyDescent="0.3">
      <c r="A170" s="68" t="str">
        <f>'Raw Data'!A170</f>
        <v>EMP0169</v>
      </c>
      <c r="B170" s="17" t="str">
        <f>INDEX('Raw Data'!$B$2:$B$301, MATCH(A170,'Raw Data'!$A$2:$A$301,0))</f>
        <v>Ira Singh</v>
      </c>
      <c r="C170" s="17" t="str">
        <f>VLOOKUP($A170,'Raw Data'!$A$2:$C$301,3,FALSE)</f>
        <v>Finance</v>
      </c>
      <c r="D170" s="17" t="str">
        <f>IF(ISBLANK('Raw Data'!F170),"Active","Resigned")</f>
        <v>Resigned</v>
      </c>
      <c r="E170" s="17">
        <f ca="1">DATEDIF('Raw Data'!E170,IF(ISBLANK('Raw Data'!F170),TODAY(),'Raw Data'!F170),"Y")</f>
        <v>5</v>
      </c>
      <c r="F170" s="17" t="str">
        <f>_xlfn.IFS('Raw Data'!D170&lt;30,"Under 30",'Raw Data'!D170&lt;=40,"30-40",'Raw Data'!D170&lt;=50,"41-50",TRUE(),"51+")</f>
        <v>30-40</v>
      </c>
      <c r="G170" s="38">
        <f>'Raw Data'!G170*12</f>
        <v>706800</v>
      </c>
      <c r="H170" s="17" t="str">
        <f t="shared" si="6"/>
        <v>Premium</v>
      </c>
      <c r="I170" s="17">
        <f t="shared" si="7"/>
        <v>27</v>
      </c>
      <c r="J170" s="17" t="str">
        <f t="shared" si="8"/>
        <v>Fin-EMP0169</v>
      </c>
      <c r="K170" s="39">
        <f ca="1">EOMONTH('Raw Data'!E170,12*(YEAR(TODAY())-YEAR('Raw Data'!E170))+3)</f>
        <v>46387</v>
      </c>
      <c r="L170" s="17" t="str">
        <f ca="1">IF(AND('Raw Data'!H170&gt;=4,D170="Active",E170&lt;2),"Watch","")</f>
        <v/>
      </c>
      <c r="M170" s="69" t="str">
        <f>IFERROR(VLOOKUP($A170,'Raw Data'!$A$2:$C$50,3,FALSE()),"Not in first 49 rows")</f>
        <v>Not in first 49 rows</v>
      </c>
    </row>
    <row r="171" spans="1:13" x14ac:dyDescent="0.3">
      <c r="A171" s="68" t="str">
        <f>'Raw Data'!A171</f>
        <v>EMP0170</v>
      </c>
      <c r="B171" s="17" t="str">
        <f>INDEX('Raw Data'!$B$2:$B$301, MATCH(A171,'Raw Data'!$A$2:$A$301,0))</f>
        <v>Nikhil Pillai</v>
      </c>
      <c r="C171" s="17" t="str">
        <f>VLOOKUP($A171,'Raw Data'!$A$2:$C$301,3,FALSE)</f>
        <v>Operations</v>
      </c>
      <c r="D171" s="17" t="str">
        <f>IF(ISBLANK('Raw Data'!F171),"Active","Resigned")</f>
        <v>Active</v>
      </c>
      <c r="E171" s="17">
        <f ca="1">DATEDIF('Raw Data'!E171,IF(ISBLANK('Raw Data'!F171),TODAY(),'Raw Data'!F171),"Y")</f>
        <v>4</v>
      </c>
      <c r="F171" s="17" t="str">
        <f>_xlfn.IFS('Raw Data'!D171&lt;30,"Under 30",'Raw Data'!D171&lt;=40,"30-40",'Raw Data'!D171&lt;=50,"41-50",TRUE(),"51+")</f>
        <v>30-40</v>
      </c>
      <c r="G171" s="38">
        <f>'Raw Data'!G171*12</f>
        <v>540000</v>
      </c>
      <c r="H171" s="17" t="str">
        <f t="shared" si="6"/>
        <v>High</v>
      </c>
      <c r="I171" s="17">
        <f t="shared" si="7"/>
        <v>152</v>
      </c>
      <c r="J171" s="17" t="str">
        <f t="shared" si="8"/>
        <v>Ope-EMP0170</v>
      </c>
      <c r="K171" s="39">
        <f ca="1">EOMONTH('Raw Data'!E171,12*(YEAR(TODAY())-YEAR('Raw Data'!E171))+3)</f>
        <v>46356</v>
      </c>
      <c r="L171" s="17" t="str">
        <f ca="1">IF(AND('Raw Data'!H171&gt;=4,D171="Active",E171&lt;2),"Watch","")</f>
        <v/>
      </c>
      <c r="M171" s="69" t="str">
        <f>IFERROR(VLOOKUP($A171,'Raw Data'!$A$2:$C$50,3,FALSE()),"Not in first 49 rows")</f>
        <v>Not in first 49 rows</v>
      </c>
    </row>
    <row r="172" spans="1:13" x14ac:dyDescent="0.3">
      <c r="A172" s="68" t="str">
        <f>'Raw Data'!A172</f>
        <v>EMP0171</v>
      </c>
      <c r="B172" s="17" t="str">
        <f>INDEX('Raw Data'!$B$2:$B$301, MATCH(A172,'Raw Data'!$A$2:$A$301,0))</f>
        <v>Manoj Verma</v>
      </c>
      <c r="C172" s="17" t="str">
        <f>VLOOKUP($A172,'Raw Data'!$A$2:$C$301,3,FALSE)</f>
        <v>HR</v>
      </c>
      <c r="D172" s="17" t="str">
        <f>IF(ISBLANK('Raw Data'!F172),"Active","Resigned")</f>
        <v>Active</v>
      </c>
      <c r="E172" s="17">
        <f ca="1">DATEDIF('Raw Data'!E172,IF(ISBLANK('Raw Data'!F172),TODAY(),'Raw Data'!F172),"Y")</f>
        <v>5</v>
      </c>
      <c r="F172" s="17" t="str">
        <f>_xlfn.IFS('Raw Data'!D172&lt;30,"Under 30",'Raw Data'!D172&lt;=40,"30-40",'Raw Data'!D172&lt;=50,"41-50",TRUE(),"51+")</f>
        <v>Under 30</v>
      </c>
      <c r="G172" s="38">
        <f>'Raw Data'!G172*12</f>
        <v>560400</v>
      </c>
      <c r="H172" s="17" t="str">
        <f t="shared" si="6"/>
        <v>High</v>
      </c>
      <c r="I172" s="17">
        <f t="shared" si="7"/>
        <v>127</v>
      </c>
      <c r="J172" s="17" t="str">
        <f t="shared" si="8"/>
        <v>HR-EMP0171</v>
      </c>
      <c r="K172" s="39">
        <f ca="1">EOMONTH('Raw Data'!E172,12*(YEAR(TODAY())-YEAR('Raw Data'!E172))+3)</f>
        <v>46173</v>
      </c>
      <c r="L172" s="17" t="str">
        <f ca="1">IF(AND('Raw Data'!H172&gt;=4,D172="Active",E172&lt;2),"Watch","")</f>
        <v/>
      </c>
      <c r="M172" s="69" t="str">
        <f>IFERROR(VLOOKUP($A172,'Raw Data'!$A$2:$C$50,3,FALSE()),"Not in first 49 rows")</f>
        <v>Not in first 49 rows</v>
      </c>
    </row>
    <row r="173" spans="1:13" x14ac:dyDescent="0.3">
      <c r="A173" s="68" t="str">
        <f>'Raw Data'!A173</f>
        <v>EMP0172</v>
      </c>
      <c r="B173" s="17" t="str">
        <f>INDEX('Raw Data'!$B$2:$B$301, MATCH(A173,'Raw Data'!$A$2:$A$301,0))</f>
        <v>Divya Desai</v>
      </c>
      <c r="C173" s="17" t="str">
        <f>VLOOKUP($A173,'Raw Data'!$A$2:$C$301,3,FALSE)</f>
        <v>Operations</v>
      </c>
      <c r="D173" s="17" t="str">
        <f>IF(ISBLANK('Raw Data'!F173),"Active","Resigned")</f>
        <v>Resigned</v>
      </c>
      <c r="E173" s="17">
        <f ca="1">DATEDIF('Raw Data'!E173,IF(ISBLANK('Raw Data'!F173),TODAY(),'Raw Data'!F173),"Y")</f>
        <v>0</v>
      </c>
      <c r="F173" s="17" t="str">
        <f>_xlfn.IFS('Raw Data'!D173&lt;30,"Under 30",'Raw Data'!D173&lt;=40,"30-40",'Raw Data'!D173&lt;=50,"41-50",TRUE(),"51+")</f>
        <v>41-50</v>
      </c>
      <c r="G173" s="38">
        <f>'Raw Data'!G173*12</f>
        <v>626400</v>
      </c>
      <c r="H173" s="17" t="str">
        <f t="shared" si="6"/>
        <v>High</v>
      </c>
      <c r="I173" s="17">
        <f t="shared" si="7"/>
        <v>67</v>
      </c>
      <c r="J173" s="17" t="str">
        <f t="shared" si="8"/>
        <v>Ope-EMP0172</v>
      </c>
      <c r="K173" s="39">
        <f ca="1">EOMONTH('Raw Data'!E173,12*(YEAR(TODAY())-YEAR('Raw Data'!E173))+3)</f>
        <v>46203</v>
      </c>
      <c r="L173" s="17" t="str">
        <f ca="1">IF(AND('Raw Data'!H173&gt;=4,D173="Active",E173&lt;2),"Watch","")</f>
        <v/>
      </c>
      <c r="M173" s="69" t="str">
        <f>IFERROR(VLOOKUP($A173,'Raw Data'!$A$2:$C$50,3,FALSE()),"Not in first 49 rows")</f>
        <v>Not in first 49 rows</v>
      </c>
    </row>
    <row r="174" spans="1:13" x14ac:dyDescent="0.3">
      <c r="A174" s="68" t="str">
        <f>'Raw Data'!A174</f>
        <v>EMP0173</v>
      </c>
      <c r="B174" s="17" t="str">
        <f>INDEX('Raw Data'!$B$2:$B$301, MATCH(A174,'Raw Data'!$A$2:$A$301,0))</f>
        <v>Anjali Malhotra</v>
      </c>
      <c r="C174" s="17" t="str">
        <f>VLOOKUP($A174,'Raw Data'!$A$2:$C$301,3,FALSE)</f>
        <v>Operations</v>
      </c>
      <c r="D174" s="17" t="str">
        <f>IF(ISBLANK('Raw Data'!F174),"Active","Resigned")</f>
        <v>Active</v>
      </c>
      <c r="E174" s="17">
        <f ca="1">DATEDIF('Raw Data'!E174,IF(ISBLANK('Raw Data'!F174),TODAY(),'Raw Data'!F174),"Y")</f>
        <v>9</v>
      </c>
      <c r="F174" s="17" t="str">
        <f>_xlfn.IFS('Raw Data'!D174&lt;30,"Under 30",'Raw Data'!D174&lt;=40,"30-40",'Raw Data'!D174&lt;=50,"41-50",TRUE(),"51+")</f>
        <v>41-50</v>
      </c>
      <c r="G174" s="38">
        <f>'Raw Data'!G174*12</f>
        <v>378000</v>
      </c>
      <c r="H174" s="17" t="str">
        <f t="shared" si="6"/>
        <v>Low</v>
      </c>
      <c r="I174" s="17">
        <f t="shared" si="7"/>
        <v>277</v>
      </c>
      <c r="J174" s="17" t="str">
        <f t="shared" si="8"/>
        <v>Ope-EMP0173</v>
      </c>
      <c r="K174" s="39">
        <f ca="1">EOMONTH('Raw Data'!E174,12*(YEAR(TODAY())-YEAR('Raw Data'!E174))+3)</f>
        <v>46477</v>
      </c>
      <c r="L174" s="17" t="str">
        <f ca="1">IF(AND('Raw Data'!H174&gt;=4,D174="Active",E174&lt;2),"Watch","")</f>
        <v/>
      </c>
      <c r="M174" s="69" t="str">
        <f>IFERROR(VLOOKUP($A174,'Raw Data'!$A$2:$C$50,3,FALSE()),"Not in first 49 rows")</f>
        <v>Not in first 49 rows</v>
      </c>
    </row>
    <row r="175" spans="1:13" x14ac:dyDescent="0.3">
      <c r="A175" s="68" t="str">
        <f>'Raw Data'!A175</f>
        <v>EMP0174</v>
      </c>
      <c r="B175" s="17" t="str">
        <f>INDEX('Raw Data'!$B$2:$B$301, MATCH(A175,'Raw Data'!$A$2:$A$301,0))</f>
        <v>Manoj Bhat</v>
      </c>
      <c r="C175" s="17" t="str">
        <f>VLOOKUP($A175,'Raw Data'!$A$2:$C$301,3,FALSE)</f>
        <v>Sales</v>
      </c>
      <c r="D175" s="17" t="str">
        <f>IF(ISBLANK('Raw Data'!F175),"Active","Resigned")</f>
        <v>Active</v>
      </c>
      <c r="E175" s="17">
        <f ca="1">DATEDIF('Raw Data'!E175,IF(ISBLANK('Raw Data'!F175),TODAY(),'Raw Data'!F175),"Y")</f>
        <v>7</v>
      </c>
      <c r="F175" s="17" t="str">
        <f>_xlfn.IFS('Raw Data'!D175&lt;30,"Under 30",'Raw Data'!D175&lt;=40,"30-40",'Raw Data'!D175&lt;=50,"41-50",TRUE(),"51+")</f>
        <v>41-50</v>
      </c>
      <c r="G175" s="38">
        <f>'Raw Data'!G175*12</f>
        <v>399600</v>
      </c>
      <c r="H175" s="17" t="str">
        <f t="shared" si="6"/>
        <v>Low</v>
      </c>
      <c r="I175" s="17">
        <f t="shared" si="7"/>
        <v>266</v>
      </c>
      <c r="J175" s="17" t="str">
        <f t="shared" si="8"/>
        <v>Sal-EMP0174</v>
      </c>
      <c r="K175" s="39">
        <f ca="1">EOMONTH('Raw Data'!E175,12*(YEAR(TODAY())-YEAR('Raw Data'!E175))+3)</f>
        <v>46295</v>
      </c>
      <c r="L175" s="17" t="str">
        <f ca="1">IF(AND('Raw Data'!H175&gt;=4,D175="Active",E175&lt;2),"Watch","")</f>
        <v/>
      </c>
      <c r="M175" s="69" t="str">
        <f>IFERROR(VLOOKUP($A175,'Raw Data'!$A$2:$C$50,3,FALSE()),"Not in first 49 rows")</f>
        <v>Not in first 49 rows</v>
      </c>
    </row>
    <row r="176" spans="1:13" x14ac:dyDescent="0.3">
      <c r="A176" s="68" t="str">
        <f>'Raw Data'!A176</f>
        <v>EMP0175</v>
      </c>
      <c r="B176" s="17" t="str">
        <f>INDEX('Raw Data'!$B$2:$B$301, MATCH(A176,'Raw Data'!$A$2:$A$301,0))</f>
        <v>Arjun Bhat</v>
      </c>
      <c r="C176" s="17" t="str">
        <f>VLOOKUP($A176,'Raw Data'!$A$2:$C$301,3,FALSE)</f>
        <v>Operations</v>
      </c>
      <c r="D176" s="17" t="str">
        <f>IF(ISBLANK('Raw Data'!F176),"Active","Resigned")</f>
        <v>Active</v>
      </c>
      <c r="E176" s="17">
        <f ca="1">DATEDIF('Raw Data'!E176,IF(ISBLANK('Raw Data'!F176),TODAY(),'Raw Data'!F176),"Y")</f>
        <v>4</v>
      </c>
      <c r="F176" s="17" t="str">
        <f>_xlfn.IFS('Raw Data'!D176&lt;30,"Under 30",'Raw Data'!D176&lt;=40,"30-40",'Raw Data'!D176&lt;=50,"41-50",TRUE(),"51+")</f>
        <v>Under 30</v>
      </c>
      <c r="G176" s="38">
        <f>'Raw Data'!G176*12</f>
        <v>608400</v>
      </c>
      <c r="H176" s="17" t="str">
        <f t="shared" si="6"/>
        <v>High</v>
      </c>
      <c r="I176" s="17">
        <f t="shared" si="7"/>
        <v>83</v>
      </c>
      <c r="J176" s="17" t="str">
        <f t="shared" si="8"/>
        <v>Ope-EMP0175</v>
      </c>
      <c r="K176" s="39">
        <f ca="1">EOMONTH('Raw Data'!E176,12*(YEAR(TODAY())-YEAR('Raw Data'!E176))+3)</f>
        <v>46477</v>
      </c>
      <c r="L176" s="17" t="str">
        <f ca="1">IF(AND('Raw Data'!H176&gt;=4,D176="Active",E176&lt;2),"Watch","")</f>
        <v/>
      </c>
      <c r="M176" s="69" t="str">
        <f>IFERROR(VLOOKUP($A176,'Raw Data'!$A$2:$C$50,3,FALSE()),"Not in first 49 rows")</f>
        <v>Not in first 49 rows</v>
      </c>
    </row>
    <row r="177" spans="1:13" x14ac:dyDescent="0.3">
      <c r="A177" s="68" t="str">
        <f>'Raw Data'!A177</f>
        <v>EMP0176</v>
      </c>
      <c r="B177" s="17" t="str">
        <f>INDEX('Raw Data'!$B$2:$B$301, MATCH(A177,'Raw Data'!$A$2:$A$301,0))</f>
        <v>Karan Nair</v>
      </c>
      <c r="C177" s="17" t="str">
        <f>VLOOKUP($A177,'Raw Data'!$A$2:$C$301,3,FALSE)</f>
        <v>Sales</v>
      </c>
      <c r="D177" s="17" t="str">
        <f>IF(ISBLANK('Raw Data'!F177),"Active","Resigned")</f>
        <v>Resigned</v>
      </c>
      <c r="E177" s="17">
        <f ca="1">DATEDIF('Raw Data'!E177,IF(ISBLANK('Raw Data'!F177),TODAY(),'Raw Data'!F177),"Y")</f>
        <v>7</v>
      </c>
      <c r="F177" s="17" t="str">
        <f>_xlfn.IFS('Raw Data'!D177&lt;30,"Under 30",'Raw Data'!D177&lt;=40,"30-40",'Raw Data'!D177&lt;=50,"41-50",TRUE(),"51+")</f>
        <v>30-40</v>
      </c>
      <c r="G177" s="38">
        <f>'Raw Data'!G177*12</f>
        <v>380400</v>
      </c>
      <c r="H177" s="17" t="str">
        <f t="shared" si="6"/>
        <v>Low</v>
      </c>
      <c r="I177" s="17">
        <f t="shared" si="7"/>
        <v>275</v>
      </c>
      <c r="J177" s="17" t="str">
        <f t="shared" si="8"/>
        <v>Sal-EMP0176</v>
      </c>
      <c r="K177" s="39">
        <f ca="1">EOMONTH('Raw Data'!E177,12*(YEAR(TODAY())-YEAR('Raw Data'!E177))+3)</f>
        <v>46446</v>
      </c>
      <c r="L177" s="17" t="str">
        <f ca="1">IF(AND('Raw Data'!H177&gt;=4,D177="Active",E177&lt;2),"Watch","")</f>
        <v/>
      </c>
      <c r="M177" s="69" t="str">
        <f>IFERROR(VLOOKUP($A177,'Raw Data'!$A$2:$C$50,3,FALSE()),"Not in first 49 rows")</f>
        <v>Not in first 49 rows</v>
      </c>
    </row>
    <row r="178" spans="1:13" x14ac:dyDescent="0.3">
      <c r="A178" s="68" t="str">
        <f>'Raw Data'!A178</f>
        <v>EMP0177</v>
      </c>
      <c r="B178" s="17" t="str">
        <f>INDEX('Raw Data'!$B$2:$B$301, MATCH(A178,'Raw Data'!$A$2:$A$301,0))</f>
        <v>Arjun Patel</v>
      </c>
      <c r="C178" s="17" t="str">
        <f>VLOOKUP($A178,'Raw Data'!$A$2:$C$301,3,FALSE)</f>
        <v>Operations</v>
      </c>
      <c r="D178" s="17" t="str">
        <f>IF(ISBLANK('Raw Data'!F178),"Active","Resigned")</f>
        <v>Active</v>
      </c>
      <c r="E178" s="17">
        <f ca="1">DATEDIF('Raw Data'!E178,IF(ISBLANK('Raw Data'!F178),TODAY(),'Raw Data'!F178),"Y")</f>
        <v>5</v>
      </c>
      <c r="F178" s="17" t="str">
        <f>_xlfn.IFS('Raw Data'!D178&lt;30,"Under 30",'Raw Data'!D178&lt;=40,"30-40",'Raw Data'!D178&lt;=50,"41-50",TRUE(),"51+")</f>
        <v>51+</v>
      </c>
      <c r="G178" s="38">
        <f>'Raw Data'!G178*12</f>
        <v>566400</v>
      </c>
      <c r="H178" s="17" t="str">
        <f t="shared" si="6"/>
        <v>High</v>
      </c>
      <c r="I178" s="17">
        <f t="shared" si="7"/>
        <v>121</v>
      </c>
      <c r="J178" s="17" t="str">
        <f t="shared" si="8"/>
        <v>Ope-EMP0177</v>
      </c>
      <c r="K178" s="39">
        <f ca="1">EOMONTH('Raw Data'!E178,12*(YEAR(TODAY())-YEAR('Raw Data'!E178))+3)</f>
        <v>46203</v>
      </c>
      <c r="L178" s="17" t="str">
        <f ca="1">IF(AND('Raw Data'!H178&gt;=4,D178="Active",E178&lt;2),"Watch","")</f>
        <v/>
      </c>
      <c r="M178" s="69" t="str">
        <f>IFERROR(VLOOKUP($A178,'Raw Data'!$A$2:$C$50,3,FALSE()),"Not in first 49 rows")</f>
        <v>Not in first 49 rows</v>
      </c>
    </row>
    <row r="179" spans="1:13" x14ac:dyDescent="0.3">
      <c r="A179" s="68" t="str">
        <f>'Raw Data'!A179</f>
        <v>EMP0178</v>
      </c>
      <c r="B179" s="17" t="str">
        <f>INDEX('Raw Data'!$B$2:$B$301, MATCH(A179,'Raw Data'!$A$2:$A$301,0))</f>
        <v>Divya Agarwal</v>
      </c>
      <c r="C179" s="17" t="str">
        <f>VLOOKUP($A179,'Raw Data'!$A$2:$C$301,3,FALSE)</f>
        <v>Finance</v>
      </c>
      <c r="D179" s="17" t="str">
        <f>IF(ISBLANK('Raw Data'!F179),"Active","Resigned")</f>
        <v>Active</v>
      </c>
      <c r="E179" s="17">
        <f ca="1">DATEDIF('Raw Data'!E179,IF(ISBLANK('Raw Data'!F179),TODAY(),'Raw Data'!F179),"Y")</f>
        <v>8</v>
      </c>
      <c r="F179" s="17" t="str">
        <f>_xlfn.IFS('Raw Data'!D179&lt;30,"Under 30",'Raw Data'!D179&lt;=40,"30-40",'Raw Data'!D179&lt;=50,"41-50",TRUE(),"51+")</f>
        <v>41-50</v>
      </c>
      <c r="G179" s="38">
        <f>'Raw Data'!G179*12</f>
        <v>627600</v>
      </c>
      <c r="H179" s="17" t="str">
        <f t="shared" si="6"/>
        <v>High</v>
      </c>
      <c r="I179" s="17">
        <f t="shared" si="7"/>
        <v>64</v>
      </c>
      <c r="J179" s="17" t="str">
        <f t="shared" si="8"/>
        <v>Fin-EMP0178</v>
      </c>
      <c r="K179" s="39">
        <f ca="1">EOMONTH('Raw Data'!E179,12*(YEAR(TODAY())-YEAR('Raw Data'!E179))+3)</f>
        <v>46387</v>
      </c>
      <c r="L179" s="17" t="str">
        <f ca="1">IF(AND('Raw Data'!H179&gt;=4,D179="Active",E179&lt;2),"Watch","")</f>
        <v/>
      </c>
      <c r="M179" s="69" t="str">
        <f>IFERROR(VLOOKUP($A179,'Raw Data'!$A$2:$C$50,3,FALSE()),"Not in first 49 rows")</f>
        <v>Not in first 49 rows</v>
      </c>
    </row>
    <row r="180" spans="1:13" x14ac:dyDescent="0.3">
      <c r="A180" s="68" t="str">
        <f>'Raw Data'!A180</f>
        <v>EMP0179</v>
      </c>
      <c r="B180" s="17" t="str">
        <f>INDEX('Raw Data'!$B$2:$B$301, MATCH(A180,'Raw Data'!$A$2:$A$301,0))</f>
        <v>Anika Menon</v>
      </c>
      <c r="C180" s="17" t="str">
        <f>VLOOKUP($A180,'Raw Data'!$A$2:$C$301,3,FALSE)</f>
        <v>Sales</v>
      </c>
      <c r="D180" s="17" t="str">
        <f>IF(ISBLANK('Raw Data'!F180),"Active","Resigned")</f>
        <v>Resigned</v>
      </c>
      <c r="E180" s="17">
        <f ca="1">DATEDIF('Raw Data'!E180,IF(ISBLANK('Raw Data'!F180),TODAY(),'Raw Data'!F180),"Y")</f>
        <v>2</v>
      </c>
      <c r="F180" s="17" t="str">
        <f>_xlfn.IFS('Raw Data'!D180&lt;30,"Under 30",'Raw Data'!D180&lt;=40,"30-40",'Raw Data'!D180&lt;=50,"41-50",TRUE(),"51+")</f>
        <v>41-50</v>
      </c>
      <c r="G180" s="38">
        <f>'Raw Data'!G180*12</f>
        <v>465600</v>
      </c>
      <c r="H180" s="17" t="str">
        <f t="shared" si="6"/>
        <v>Mid</v>
      </c>
      <c r="I180" s="17">
        <f t="shared" si="7"/>
        <v>211</v>
      </c>
      <c r="J180" s="17" t="str">
        <f t="shared" si="8"/>
        <v>Sal-EMP0179</v>
      </c>
      <c r="K180" s="39">
        <f ca="1">EOMONTH('Raw Data'!E180,12*(YEAR(TODAY())-YEAR('Raw Data'!E180))+3)</f>
        <v>46387</v>
      </c>
      <c r="L180" s="17" t="str">
        <f ca="1">IF(AND('Raw Data'!H180&gt;=4,D180="Active",E180&lt;2),"Watch","")</f>
        <v/>
      </c>
      <c r="M180" s="69" t="str">
        <f>IFERROR(VLOOKUP($A180,'Raw Data'!$A$2:$C$50,3,FALSE()),"Not in first 49 rows")</f>
        <v>Not in first 49 rows</v>
      </c>
    </row>
    <row r="181" spans="1:13" x14ac:dyDescent="0.3">
      <c r="A181" s="68" t="str">
        <f>'Raw Data'!A181</f>
        <v>EMP0180</v>
      </c>
      <c r="B181" s="17" t="str">
        <f>INDEX('Raw Data'!$B$2:$B$301, MATCH(A181,'Raw Data'!$A$2:$A$301,0))</f>
        <v>Riya Gupta</v>
      </c>
      <c r="C181" s="17" t="str">
        <f>VLOOKUP($A181,'Raw Data'!$A$2:$C$301,3,FALSE)</f>
        <v>Operations</v>
      </c>
      <c r="D181" s="17" t="str">
        <f>IF(ISBLANK('Raw Data'!F181),"Active","Resigned")</f>
        <v>Active</v>
      </c>
      <c r="E181" s="17">
        <f ca="1">DATEDIF('Raw Data'!E181,IF(ISBLANK('Raw Data'!F181),TODAY(),'Raw Data'!F181),"Y")</f>
        <v>3</v>
      </c>
      <c r="F181" s="17" t="str">
        <f>_xlfn.IFS('Raw Data'!D181&lt;30,"Under 30",'Raw Data'!D181&lt;=40,"30-40",'Raw Data'!D181&lt;=50,"41-50",TRUE(),"51+")</f>
        <v>Under 30</v>
      </c>
      <c r="G181" s="38">
        <f>'Raw Data'!G181*12</f>
        <v>458400</v>
      </c>
      <c r="H181" s="17" t="str">
        <f t="shared" si="6"/>
        <v>Mid</v>
      </c>
      <c r="I181" s="17">
        <f t="shared" si="7"/>
        <v>220</v>
      </c>
      <c r="J181" s="17" t="str">
        <f t="shared" si="8"/>
        <v>Ope-EMP0180</v>
      </c>
      <c r="K181" s="39">
        <f ca="1">EOMONTH('Raw Data'!E181,12*(YEAR(TODAY())-YEAR('Raw Data'!E181))+3)</f>
        <v>46446</v>
      </c>
      <c r="L181" s="17" t="str">
        <f ca="1">IF(AND('Raw Data'!H181&gt;=4,D181="Active",E181&lt;2),"Watch","")</f>
        <v/>
      </c>
      <c r="M181" s="69" t="str">
        <f>IFERROR(VLOOKUP($A181,'Raw Data'!$A$2:$C$50,3,FALSE()),"Not in first 49 rows")</f>
        <v>Not in first 49 rows</v>
      </c>
    </row>
    <row r="182" spans="1:13" x14ac:dyDescent="0.3">
      <c r="A182" s="68" t="str">
        <f>'Raw Data'!A182</f>
        <v>EMP0181</v>
      </c>
      <c r="B182" s="17" t="str">
        <f>INDEX('Raw Data'!$B$2:$B$301, MATCH(A182,'Raw Data'!$A$2:$A$301,0))</f>
        <v>Aditya Malhotra</v>
      </c>
      <c r="C182" s="17" t="str">
        <f>VLOOKUP($A182,'Raw Data'!$A$2:$C$301,3,FALSE)</f>
        <v>IT</v>
      </c>
      <c r="D182" s="17" t="str">
        <f>IF(ISBLANK('Raw Data'!F182),"Active","Resigned")</f>
        <v>Active</v>
      </c>
      <c r="E182" s="17">
        <f ca="1">DATEDIF('Raw Data'!E182,IF(ISBLANK('Raw Data'!F182),TODAY(),'Raw Data'!F182),"Y")</f>
        <v>6</v>
      </c>
      <c r="F182" s="17" t="str">
        <f>_xlfn.IFS('Raw Data'!D182&lt;30,"Under 30",'Raw Data'!D182&lt;=40,"30-40",'Raw Data'!D182&lt;=50,"41-50",TRUE(),"51+")</f>
        <v>30-40</v>
      </c>
      <c r="G182" s="38">
        <f>'Raw Data'!G182*12</f>
        <v>672000</v>
      </c>
      <c r="H182" s="17" t="str">
        <f t="shared" si="6"/>
        <v>Premium</v>
      </c>
      <c r="I182" s="17">
        <f t="shared" si="7"/>
        <v>39</v>
      </c>
      <c r="J182" s="17" t="str">
        <f t="shared" si="8"/>
        <v>IT-EMP0181</v>
      </c>
      <c r="K182" s="39">
        <f ca="1">EOMONTH('Raw Data'!E182,12*(YEAR(TODAY())-YEAR('Raw Data'!E182))+3)</f>
        <v>46356</v>
      </c>
      <c r="L182" s="17" t="str">
        <f ca="1">IF(AND('Raw Data'!H182&gt;=4,D182="Active",E182&lt;2),"Watch","")</f>
        <v/>
      </c>
      <c r="M182" s="69" t="str">
        <f>IFERROR(VLOOKUP($A182,'Raw Data'!$A$2:$C$50,3,FALSE()),"Not in first 49 rows")</f>
        <v>Not in first 49 rows</v>
      </c>
    </row>
    <row r="183" spans="1:13" x14ac:dyDescent="0.3">
      <c r="A183" s="68" t="str">
        <f>'Raw Data'!A183</f>
        <v>EMP0182</v>
      </c>
      <c r="B183" s="17" t="str">
        <f>INDEX('Raw Data'!$B$2:$B$301, MATCH(A183,'Raw Data'!$A$2:$A$301,0))</f>
        <v>Deepak Kumar</v>
      </c>
      <c r="C183" s="17" t="str">
        <f>VLOOKUP($A183,'Raw Data'!$A$2:$C$301,3,FALSE)</f>
        <v>Finance</v>
      </c>
      <c r="D183" s="17" t="str">
        <f>IF(ISBLANK('Raw Data'!F183),"Active","Resigned")</f>
        <v>Active</v>
      </c>
      <c r="E183" s="17">
        <f ca="1">DATEDIF('Raw Data'!E183,IF(ISBLANK('Raw Data'!F183),TODAY(),'Raw Data'!F183),"Y")</f>
        <v>4</v>
      </c>
      <c r="F183" s="17" t="str">
        <f>_xlfn.IFS('Raw Data'!D183&lt;30,"Under 30",'Raw Data'!D183&lt;=40,"30-40",'Raw Data'!D183&lt;=50,"41-50",TRUE(),"51+")</f>
        <v>Under 30</v>
      </c>
      <c r="G183" s="38">
        <f>'Raw Data'!G183*12</f>
        <v>502800</v>
      </c>
      <c r="H183" s="17" t="str">
        <f t="shared" si="6"/>
        <v>Mid</v>
      </c>
      <c r="I183" s="17">
        <f t="shared" si="7"/>
        <v>185</v>
      </c>
      <c r="J183" s="17" t="str">
        <f t="shared" si="8"/>
        <v>Fin-EMP0182</v>
      </c>
      <c r="K183" s="39">
        <f ca="1">EOMONTH('Raw Data'!E183,12*(YEAR(TODAY())-YEAR('Raw Data'!E183))+3)</f>
        <v>46356</v>
      </c>
      <c r="L183" s="17" t="str">
        <f ca="1">IF(AND('Raw Data'!H183&gt;=4,D183="Active",E183&lt;2),"Watch","")</f>
        <v/>
      </c>
      <c r="M183" s="69" t="str">
        <f>IFERROR(VLOOKUP($A183,'Raw Data'!$A$2:$C$50,3,FALSE()),"Not in first 49 rows")</f>
        <v>Not in first 49 rows</v>
      </c>
    </row>
    <row r="184" spans="1:13" x14ac:dyDescent="0.3">
      <c r="A184" s="68" t="str">
        <f>'Raw Data'!A184</f>
        <v>EMP0183</v>
      </c>
      <c r="B184" s="17" t="str">
        <f>INDEX('Raw Data'!$B$2:$B$301, MATCH(A184,'Raw Data'!$A$2:$A$301,0))</f>
        <v>Deepak Bhat</v>
      </c>
      <c r="C184" s="17" t="str">
        <f>VLOOKUP($A184,'Raw Data'!$A$2:$C$301,3,FALSE)</f>
        <v>IT</v>
      </c>
      <c r="D184" s="17" t="str">
        <f>IF(ISBLANK('Raw Data'!F184),"Active","Resigned")</f>
        <v>Active</v>
      </c>
      <c r="E184" s="17">
        <f ca="1">DATEDIF('Raw Data'!E184,IF(ISBLANK('Raw Data'!F184),TODAY(),'Raw Data'!F184),"Y")</f>
        <v>6</v>
      </c>
      <c r="F184" s="17" t="str">
        <f>_xlfn.IFS('Raw Data'!D184&lt;30,"Under 30",'Raw Data'!D184&lt;=40,"30-40",'Raw Data'!D184&lt;=50,"41-50",TRUE(),"51+")</f>
        <v>30-40</v>
      </c>
      <c r="G184" s="38">
        <f>'Raw Data'!G184*12</f>
        <v>609600</v>
      </c>
      <c r="H184" s="17" t="str">
        <f t="shared" si="6"/>
        <v>High</v>
      </c>
      <c r="I184" s="17">
        <f t="shared" si="7"/>
        <v>82</v>
      </c>
      <c r="J184" s="17" t="str">
        <f t="shared" si="8"/>
        <v>IT-EMP0183</v>
      </c>
      <c r="K184" s="39">
        <f ca="1">EOMONTH('Raw Data'!E184,12*(YEAR(TODAY())-YEAR('Raw Data'!E184))+3)</f>
        <v>46142</v>
      </c>
      <c r="L184" s="17" t="str">
        <f ca="1">IF(AND('Raw Data'!H184&gt;=4,D184="Active",E184&lt;2),"Watch","")</f>
        <v/>
      </c>
      <c r="M184" s="69" t="str">
        <f>IFERROR(VLOOKUP($A184,'Raw Data'!$A$2:$C$50,3,FALSE()),"Not in first 49 rows")</f>
        <v>Not in first 49 rows</v>
      </c>
    </row>
    <row r="185" spans="1:13" x14ac:dyDescent="0.3">
      <c r="A185" s="68" t="str">
        <f>'Raw Data'!A185</f>
        <v>EMP0184</v>
      </c>
      <c r="B185" s="17" t="str">
        <f>INDEX('Raw Data'!$B$2:$B$301, MATCH(A185,'Raw Data'!$A$2:$A$301,0))</f>
        <v>Amit Agarwal</v>
      </c>
      <c r="C185" s="17" t="str">
        <f>VLOOKUP($A185,'Raw Data'!$A$2:$C$301,3,FALSE)</f>
        <v>Sales</v>
      </c>
      <c r="D185" s="17" t="str">
        <f>IF(ISBLANK('Raw Data'!F185),"Active","Resigned")</f>
        <v>Active</v>
      </c>
      <c r="E185" s="17">
        <f ca="1">DATEDIF('Raw Data'!E185,IF(ISBLANK('Raw Data'!F185),TODAY(),'Raw Data'!F185),"Y")</f>
        <v>9</v>
      </c>
      <c r="F185" s="17" t="str">
        <f>_xlfn.IFS('Raw Data'!D185&lt;30,"Under 30",'Raw Data'!D185&lt;=40,"30-40",'Raw Data'!D185&lt;=50,"41-50",TRUE(),"51+")</f>
        <v>41-50</v>
      </c>
      <c r="G185" s="38">
        <f>'Raw Data'!G185*12</f>
        <v>496800</v>
      </c>
      <c r="H185" s="17" t="str">
        <f t="shared" si="6"/>
        <v>Mid</v>
      </c>
      <c r="I185" s="17">
        <f t="shared" si="7"/>
        <v>190</v>
      </c>
      <c r="J185" s="17" t="str">
        <f t="shared" si="8"/>
        <v>Sal-EMP0184</v>
      </c>
      <c r="K185" s="39">
        <f ca="1">EOMONTH('Raw Data'!E185,12*(YEAR(TODAY())-YEAR('Raw Data'!E185))+3)</f>
        <v>46387</v>
      </c>
      <c r="L185" s="17" t="str">
        <f ca="1">IF(AND('Raw Data'!H185&gt;=4,D185="Active",E185&lt;2),"Watch","")</f>
        <v/>
      </c>
      <c r="M185" s="69" t="str">
        <f>IFERROR(VLOOKUP($A185,'Raw Data'!$A$2:$C$50,3,FALSE()),"Not in first 49 rows")</f>
        <v>Not in first 49 rows</v>
      </c>
    </row>
    <row r="186" spans="1:13" x14ac:dyDescent="0.3">
      <c r="A186" s="68" t="str">
        <f>'Raw Data'!A186</f>
        <v>EMP0185</v>
      </c>
      <c r="B186" s="17" t="str">
        <f>INDEX('Raw Data'!$B$2:$B$301, MATCH(A186,'Raw Data'!$A$2:$A$301,0))</f>
        <v>Kiara Agarwal</v>
      </c>
      <c r="C186" s="17" t="str">
        <f>VLOOKUP($A186,'Raw Data'!$A$2:$C$301,3,FALSE)</f>
        <v>Marketing</v>
      </c>
      <c r="D186" s="17" t="str">
        <f>IF(ISBLANK('Raw Data'!F186),"Active","Resigned")</f>
        <v>Active</v>
      </c>
      <c r="E186" s="17">
        <f ca="1">DATEDIF('Raw Data'!E186,IF(ISBLANK('Raw Data'!F186),TODAY(),'Raw Data'!F186),"Y")</f>
        <v>9</v>
      </c>
      <c r="F186" s="17" t="str">
        <f>_xlfn.IFS('Raw Data'!D186&lt;30,"Under 30",'Raw Data'!D186&lt;=40,"30-40",'Raw Data'!D186&lt;=50,"41-50",TRUE(),"51+")</f>
        <v>41-50</v>
      </c>
      <c r="G186" s="38">
        <f>'Raw Data'!G186*12</f>
        <v>400800</v>
      </c>
      <c r="H186" s="17" t="str">
        <f t="shared" si="6"/>
        <v>Low</v>
      </c>
      <c r="I186" s="17">
        <f t="shared" si="7"/>
        <v>265</v>
      </c>
      <c r="J186" s="17" t="str">
        <f t="shared" si="8"/>
        <v>Mar-EMP0185</v>
      </c>
      <c r="K186" s="39">
        <f ca="1">EOMONTH('Raw Data'!E186,12*(YEAR(TODAY())-YEAR('Raw Data'!E186))+3)</f>
        <v>46446</v>
      </c>
      <c r="L186" s="17" t="str">
        <f ca="1">IF(AND('Raw Data'!H186&gt;=4,D186="Active",E186&lt;2),"Watch","")</f>
        <v/>
      </c>
      <c r="M186" s="69" t="str">
        <f>IFERROR(VLOOKUP($A186,'Raw Data'!$A$2:$C$50,3,FALSE()),"Not in first 49 rows")</f>
        <v>Not in first 49 rows</v>
      </c>
    </row>
    <row r="187" spans="1:13" x14ac:dyDescent="0.3">
      <c r="A187" s="68" t="str">
        <f>'Raw Data'!A187</f>
        <v>EMP0186</v>
      </c>
      <c r="B187" s="17" t="str">
        <f>INDEX('Raw Data'!$B$2:$B$301, MATCH(A187,'Raw Data'!$A$2:$A$301,0))</f>
        <v>Manoj Singh</v>
      </c>
      <c r="C187" s="17" t="str">
        <f>VLOOKUP($A187,'Raw Data'!$A$2:$C$301,3,FALSE)</f>
        <v>IT</v>
      </c>
      <c r="D187" s="17" t="str">
        <f>IF(ISBLANK('Raw Data'!F187),"Active","Resigned")</f>
        <v>Active</v>
      </c>
      <c r="E187" s="17">
        <f ca="1">DATEDIF('Raw Data'!E187,IF(ISBLANK('Raw Data'!F187),TODAY(),'Raw Data'!F187),"Y")</f>
        <v>7</v>
      </c>
      <c r="F187" s="17" t="str">
        <f>_xlfn.IFS('Raw Data'!D187&lt;30,"Under 30",'Raw Data'!D187&lt;=40,"30-40",'Raw Data'!D187&lt;=50,"41-50",TRUE(),"51+")</f>
        <v>Under 30</v>
      </c>
      <c r="G187" s="38">
        <f>'Raw Data'!G187*12</f>
        <v>712800</v>
      </c>
      <c r="H187" s="17" t="str">
        <f t="shared" si="6"/>
        <v>Premium</v>
      </c>
      <c r="I187" s="17">
        <f t="shared" si="7"/>
        <v>25</v>
      </c>
      <c r="J187" s="17" t="str">
        <f t="shared" si="8"/>
        <v>IT-EMP0186</v>
      </c>
      <c r="K187" s="39">
        <f ca="1">EOMONTH('Raw Data'!E187,12*(YEAR(TODAY())-YEAR('Raw Data'!E187))+3)</f>
        <v>46295</v>
      </c>
      <c r="L187" s="17" t="str">
        <f ca="1">IF(AND('Raw Data'!H187&gt;=4,D187="Active",E187&lt;2),"Watch","")</f>
        <v/>
      </c>
      <c r="M187" s="69" t="str">
        <f>IFERROR(VLOOKUP($A187,'Raw Data'!$A$2:$C$50,3,FALSE()),"Not in first 49 rows")</f>
        <v>Not in first 49 rows</v>
      </c>
    </row>
    <row r="188" spans="1:13" x14ac:dyDescent="0.3">
      <c r="A188" s="68" t="str">
        <f>'Raw Data'!A188</f>
        <v>EMP0187</v>
      </c>
      <c r="B188" s="17" t="str">
        <f>INDEX('Raw Data'!$B$2:$B$301, MATCH(A188,'Raw Data'!$A$2:$A$301,0))</f>
        <v>Rohan Bhat</v>
      </c>
      <c r="C188" s="17" t="str">
        <f>VLOOKUP($A188,'Raw Data'!$A$2:$C$301,3,FALSE)</f>
        <v>Sales</v>
      </c>
      <c r="D188" s="17" t="str">
        <f>IF(ISBLANK('Raw Data'!F188),"Active","Resigned")</f>
        <v>Active</v>
      </c>
      <c r="E188" s="17">
        <f ca="1">DATEDIF('Raw Data'!E188,IF(ISBLANK('Raw Data'!F188),TODAY(),'Raw Data'!F188),"Y")</f>
        <v>4</v>
      </c>
      <c r="F188" s="17" t="str">
        <f>_xlfn.IFS('Raw Data'!D188&lt;30,"Under 30",'Raw Data'!D188&lt;=40,"30-40",'Raw Data'!D188&lt;=50,"41-50",TRUE(),"51+")</f>
        <v>41-50</v>
      </c>
      <c r="G188" s="38">
        <f>'Raw Data'!G188*12</f>
        <v>440400</v>
      </c>
      <c r="H188" s="17" t="str">
        <f t="shared" si="6"/>
        <v>Mid</v>
      </c>
      <c r="I188" s="17">
        <f t="shared" si="7"/>
        <v>236</v>
      </c>
      <c r="J188" s="17" t="str">
        <f t="shared" si="8"/>
        <v>Sal-EMP0187</v>
      </c>
      <c r="K188" s="39">
        <f ca="1">EOMONTH('Raw Data'!E188,12*(YEAR(TODAY())-YEAR('Raw Data'!E188))+3)</f>
        <v>46387</v>
      </c>
      <c r="L188" s="17" t="str">
        <f ca="1">IF(AND('Raw Data'!H188&gt;=4,D188="Active",E188&lt;2),"Watch","")</f>
        <v/>
      </c>
      <c r="M188" s="69" t="str">
        <f>IFERROR(VLOOKUP($A188,'Raw Data'!$A$2:$C$50,3,FALSE()),"Not in first 49 rows")</f>
        <v>Not in first 49 rows</v>
      </c>
    </row>
    <row r="189" spans="1:13" x14ac:dyDescent="0.3">
      <c r="A189" s="68" t="str">
        <f>'Raw Data'!A189</f>
        <v>EMP0188</v>
      </c>
      <c r="B189" s="17" t="str">
        <f>INDEX('Raw Data'!$B$2:$B$301, MATCH(A189,'Raw Data'!$A$2:$A$301,0))</f>
        <v>Ira Mehta</v>
      </c>
      <c r="C189" s="17" t="str">
        <f>VLOOKUP($A189,'Raw Data'!$A$2:$C$301,3,FALSE)</f>
        <v>HR</v>
      </c>
      <c r="D189" s="17" t="str">
        <f>IF(ISBLANK('Raw Data'!F189),"Active","Resigned")</f>
        <v>Active</v>
      </c>
      <c r="E189" s="17">
        <f ca="1">DATEDIF('Raw Data'!E189,IF(ISBLANK('Raw Data'!F189),TODAY(),'Raw Data'!F189),"Y")</f>
        <v>8</v>
      </c>
      <c r="F189" s="17" t="str">
        <f>_xlfn.IFS('Raw Data'!D189&lt;30,"Under 30",'Raw Data'!D189&lt;=40,"30-40",'Raw Data'!D189&lt;=50,"41-50",TRUE(),"51+")</f>
        <v>30-40</v>
      </c>
      <c r="G189" s="38">
        <f>'Raw Data'!G189*12</f>
        <v>356400</v>
      </c>
      <c r="H189" s="17" t="str">
        <f t="shared" si="6"/>
        <v>Low</v>
      </c>
      <c r="I189" s="17">
        <f t="shared" si="7"/>
        <v>291</v>
      </c>
      <c r="J189" s="17" t="str">
        <f t="shared" si="8"/>
        <v>HR-EMP0188</v>
      </c>
      <c r="K189" s="39">
        <f ca="1">EOMONTH('Raw Data'!E189,12*(YEAR(TODAY())-YEAR('Raw Data'!E189))+3)</f>
        <v>46326</v>
      </c>
      <c r="L189" s="17" t="str">
        <f ca="1">IF(AND('Raw Data'!H189&gt;=4,D189="Active",E189&lt;2),"Watch","")</f>
        <v/>
      </c>
      <c r="M189" s="69" t="str">
        <f>IFERROR(VLOOKUP($A189,'Raw Data'!$A$2:$C$50,3,FALSE()),"Not in first 49 rows")</f>
        <v>Not in first 49 rows</v>
      </c>
    </row>
    <row r="190" spans="1:13" x14ac:dyDescent="0.3">
      <c r="A190" s="68" t="str">
        <f>'Raw Data'!A190</f>
        <v>EMP0189</v>
      </c>
      <c r="B190" s="17" t="str">
        <f>INDEX('Raw Data'!$B$2:$B$301, MATCH(A190,'Raw Data'!$A$2:$A$301,0))</f>
        <v>Ishaan Bhat</v>
      </c>
      <c r="C190" s="17" t="str">
        <f>VLOOKUP($A190,'Raw Data'!$A$2:$C$301,3,FALSE)</f>
        <v>IT</v>
      </c>
      <c r="D190" s="17" t="str">
        <f>IF(ISBLANK('Raw Data'!F190),"Active","Resigned")</f>
        <v>Active</v>
      </c>
      <c r="E190" s="17">
        <f ca="1">DATEDIF('Raw Data'!E190,IF(ISBLANK('Raw Data'!F190),TODAY(),'Raw Data'!F190),"Y")</f>
        <v>10</v>
      </c>
      <c r="F190" s="17" t="str">
        <f>_xlfn.IFS('Raw Data'!D190&lt;30,"Under 30",'Raw Data'!D190&lt;=40,"30-40",'Raw Data'!D190&lt;=50,"41-50",TRUE(),"51+")</f>
        <v>51+</v>
      </c>
      <c r="G190" s="38">
        <f>'Raw Data'!G190*12</f>
        <v>780000</v>
      </c>
      <c r="H190" s="17" t="str">
        <f t="shared" si="6"/>
        <v>Premium</v>
      </c>
      <c r="I190" s="17">
        <f t="shared" si="7"/>
        <v>6</v>
      </c>
      <c r="J190" s="17" t="str">
        <f t="shared" si="8"/>
        <v>IT-EMP0189</v>
      </c>
      <c r="K190" s="39">
        <f ca="1">EOMONTH('Raw Data'!E190,12*(YEAR(TODAY())-YEAR('Raw Data'!E190))+3)</f>
        <v>46295</v>
      </c>
      <c r="L190" s="17" t="str">
        <f ca="1">IF(AND('Raw Data'!H190&gt;=4,D190="Active",E190&lt;2),"Watch","")</f>
        <v/>
      </c>
      <c r="M190" s="69" t="str">
        <f>IFERROR(VLOOKUP($A190,'Raw Data'!$A$2:$C$50,3,FALSE()),"Not in first 49 rows")</f>
        <v>Not in first 49 rows</v>
      </c>
    </row>
    <row r="191" spans="1:13" x14ac:dyDescent="0.3">
      <c r="A191" s="68" t="str">
        <f>'Raw Data'!A191</f>
        <v>EMP0190</v>
      </c>
      <c r="B191" s="17" t="str">
        <f>INDEX('Raw Data'!$B$2:$B$301, MATCH(A191,'Raw Data'!$A$2:$A$301,0))</f>
        <v>Swati Desai</v>
      </c>
      <c r="C191" s="17" t="str">
        <f>VLOOKUP($A191,'Raw Data'!$A$2:$C$301,3,FALSE)</f>
        <v>Marketing</v>
      </c>
      <c r="D191" s="17" t="str">
        <f>IF(ISBLANK('Raw Data'!F191),"Active","Resigned")</f>
        <v>Active</v>
      </c>
      <c r="E191" s="17">
        <f ca="1">DATEDIF('Raw Data'!E191,IF(ISBLANK('Raw Data'!F191),TODAY(),'Raw Data'!F191),"Y")</f>
        <v>8</v>
      </c>
      <c r="F191" s="17" t="str">
        <f>_xlfn.IFS('Raw Data'!D191&lt;30,"Under 30",'Raw Data'!D191&lt;=40,"30-40",'Raw Data'!D191&lt;=50,"41-50",TRUE(),"51+")</f>
        <v>30-40</v>
      </c>
      <c r="G191" s="38">
        <f>'Raw Data'!G191*12</f>
        <v>582000</v>
      </c>
      <c r="H191" s="17" t="str">
        <f t="shared" si="6"/>
        <v>High</v>
      </c>
      <c r="I191" s="17">
        <f t="shared" si="7"/>
        <v>111</v>
      </c>
      <c r="J191" s="17" t="str">
        <f t="shared" si="8"/>
        <v>Mar-EMP0190</v>
      </c>
      <c r="K191" s="39">
        <f ca="1">EOMONTH('Raw Data'!E191,12*(YEAR(TODAY())-YEAR('Raw Data'!E191))+3)</f>
        <v>46142</v>
      </c>
      <c r="L191" s="17" t="str">
        <f ca="1">IF(AND('Raw Data'!H191&gt;=4,D191="Active",E191&lt;2),"Watch","")</f>
        <v/>
      </c>
      <c r="M191" s="69" t="str">
        <f>IFERROR(VLOOKUP($A191,'Raw Data'!$A$2:$C$50,3,FALSE()),"Not in first 49 rows")</f>
        <v>Not in first 49 rows</v>
      </c>
    </row>
    <row r="192" spans="1:13" x14ac:dyDescent="0.3">
      <c r="A192" s="68" t="str">
        <f>'Raw Data'!A192</f>
        <v>EMP0191</v>
      </c>
      <c r="B192" s="17" t="str">
        <f>INDEX('Raw Data'!$B$2:$B$301, MATCH(A192,'Raw Data'!$A$2:$A$301,0))</f>
        <v>Ananya Malhotra</v>
      </c>
      <c r="C192" s="17" t="str">
        <f>VLOOKUP($A192,'Raw Data'!$A$2:$C$301,3,FALSE)</f>
        <v>Sales</v>
      </c>
      <c r="D192" s="17" t="str">
        <f>IF(ISBLANK('Raw Data'!F192),"Active","Resigned")</f>
        <v>Active</v>
      </c>
      <c r="E192" s="17">
        <f ca="1">DATEDIF('Raw Data'!E192,IF(ISBLANK('Raw Data'!F192),TODAY(),'Raw Data'!F192),"Y")</f>
        <v>6</v>
      </c>
      <c r="F192" s="17" t="str">
        <f>_xlfn.IFS('Raw Data'!D192&lt;30,"Under 30",'Raw Data'!D192&lt;=40,"30-40",'Raw Data'!D192&lt;=50,"41-50",TRUE(),"51+")</f>
        <v>41-50</v>
      </c>
      <c r="G192" s="38">
        <f>'Raw Data'!G192*12</f>
        <v>404400</v>
      </c>
      <c r="H192" s="17" t="str">
        <f t="shared" si="6"/>
        <v>Low</v>
      </c>
      <c r="I192" s="17">
        <f t="shared" si="7"/>
        <v>260</v>
      </c>
      <c r="J192" s="17" t="str">
        <f t="shared" si="8"/>
        <v>Sal-EMP0191</v>
      </c>
      <c r="K192" s="39">
        <f ca="1">EOMONTH('Raw Data'!E192,12*(YEAR(TODAY())-YEAR('Raw Data'!E192))+3)</f>
        <v>46173</v>
      </c>
      <c r="L192" s="17" t="str">
        <f ca="1">IF(AND('Raw Data'!H192&gt;=4,D192="Active",E192&lt;2),"Watch","")</f>
        <v/>
      </c>
      <c r="M192" s="69" t="str">
        <f>IFERROR(VLOOKUP($A192,'Raw Data'!$A$2:$C$50,3,FALSE()),"Not in first 49 rows")</f>
        <v>Not in first 49 rows</v>
      </c>
    </row>
    <row r="193" spans="1:13" x14ac:dyDescent="0.3">
      <c r="A193" s="68" t="str">
        <f>'Raw Data'!A193</f>
        <v>EMP0192</v>
      </c>
      <c r="B193" s="17" t="str">
        <f>INDEX('Raw Data'!$B$2:$B$301, MATCH(A193,'Raw Data'!$A$2:$A$301,0))</f>
        <v>Riya Malhotra</v>
      </c>
      <c r="C193" s="17" t="str">
        <f>VLOOKUP($A193,'Raw Data'!$A$2:$C$301,3,FALSE)</f>
        <v>Marketing</v>
      </c>
      <c r="D193" s="17" t="str">
        <f>IF(ISBLANK('Raw Data'!F193),"Active","Resigned")</f>
        <v>Active</v>
      </c>
      <c r="E193" s="17">
        <f ca="1">DATEDIF('Raw Data'!E193,IF(ISBLANK('Raw Data'!F193),TODAY(),'Raw Data'!F193),"Y")</f>
        <v>7</v>
      </c>
      <c r="F193" s="17" t="str">
        <f>_xlfn.IFS('Raw Data'!D193&lt;30,"Under 30",'Raw Data'!D193&lt;=40,"30-40",'Raw Data'!D193&lt;=50,"41-50",TRUE(),"51+")</f>
        <v>51+</v>
      </c>
      <c r="G193" s="38">
        <f>'Raw Data'!G193*12</f>
        <v>592800</v>
      </c>
      <c r="H193" s="17" t="str">
        <f t="shared" si="6"/>
        <v>High</v>
      </c>
      <c r="I193" s="17">
        <f t="shared" si="7"/>
        <v>101</v>
      </c>
      <c r="J193" s="17" t="str">
        <f t="shared" si="8"/>
        <v>Mar-EMP0192</v>
      </c>
      <c r="K193" s="39">
        <f ca="1">EOMONTH('Raw Data'!E193,12*(YEAR(TODAY())-YEAR('Raw Data'!E193))+3)</f>
        <v>46387</v>
      </c>
      <c r="L193" s="17" t="str">
        <f ca="1">IF(AND('Raw Data'!H193&gt;=4,D193="Active",E193&lt;2),"Watch","")</f>
        <v/>
      </c>
      <c r="M193" s="69" t="str">
        <f>IFERROR(VLOOKUP($A193,'Raw Data'!$A$2:$C$50,3,FALSE()),"Not in first 49 rows")</f>
        <v>Not in first 49 rows</v>
      </c>
    </row>
    <row r="194" spans="1:13" x14ac:dyDescent="0.3">
      <c r="A194" s="68" t="str">
        <f>'Raw Data'!A194</f>
        <v>EMP0193</v>
      </c>
      <c r="B194" s="17" t="str">
        <f>INDEX('Raw Data'!$B$2:$B$301, MATCH(A194,'Raw Data'!$A$2:$A$301,0))</f>
        <v>Aadhya Joshi</v>
      </c>
      <c r="C194" s="17" t="str">
        <f>VLOOKUP($A194,'Raw Data'!$A$2:$C$301,3,FALSE)</f>
        <v>Operations</v>
      </c>
      <c r="D194" s="17" t="str">
        <f>IF(ISBLANK('Raw Data'!F194),"Active","Resigned")</f>
        <v>Active</v>
      </c>
      <c r="E194" s="17">
        <f ca="1">DATEDIF('Raw Data'!E194,IF(ISBLANK('Raw Data'!F194),TODAY(),'Raw Data'!F194),"Y")</f>
        <v>5</v>
      </c>
      <c r="F194" s="17" t="str">
        <f>_xlfn.IFS('Raw Data'!D194&lt;30,"Under 30",'Raw Data'!D194&lt;=40,"30-40",'Raw Data'!D194&lt;=50,"41-50",TRUE(),"51+")</f>
        <v>51+</v>
      </c>
      <c r="G194" s="38">
        <f>'Raw Data'!G194*12</f>
        <v>429600</v>
      </c>
      <c r="H194" s="17" t="str">
        <f t="shared" si="6"/>
        <v>Mid</v>
      </c>
      <c r="I194" s="17">
        <f t="shared" si="7"/>
        <v>242</v>
      </c>
      <c r="J194" s="17" t="str">
        <f t="shared" si="8"/>
        <v>Ope-EMP0193</v>
      </c>
      <c r="K194" s="39">
        <f ca="1">EOMONTH('Raw Data'!E194,12*(YEAR(TODAY())-YEAR('Raw Data'!E194))+3)</f>
        <v>46477</v>
      </c>
      <c r="L194" s="17" t="str">
        <f ca="1">IF(AND('Raw Data'!H194&gt;=4,D194="Active",E194&lt;2),"Watch","")</f>
        <v/>
      </c>
      <c r="M194" s="69" t="str">
        <f>IFERROR(VLOOKUP($A194,'Raw Data'!$A$2:$C$50,3,FALSE()),"Not in first 49 rows")</f>
        <v>Not in first 49 rows</v>
      </c>
    </row>
    <row r="195" spans="1:13" x14ac:dyDescent="0.3">
      <c r="A195" s="68" t="str">
        <f>'Raw Data'!A195</f>
        <v>EMP0194</v>
      </c>
      <c r="B195" s="17" t="str">
        <f>INDEX('Raw Data'!$B$2:$B$301, MATCH(A195,'Raw Data'!$A$2:$A$301,0))</f>
        <v>Kavita Kapoor</v>
      </c>
      <c r="C195" s="17" t="str">
        <f>VLOOKUP($A195,'Raw Data'!$A$2:$C$301,3,FALSE)</f>
        <v>Marketing</v>
      </c>
      <c r="D195" s="17" t="str">
        <f>IF(ISBLANK('Raw Data'!F195),"Active","Resigned")</f>
        <v>Active</v>
      </c>
      <c r="E195" s="17">
        <f ca="1">DATEDIF('Raw Data'!E195,IF(ISBLANK('Raw Data'!F195),TODAY(),'Raw Data'!F195),"Y")</f>
        <v>1</v>
      </c>
      <c r="F195" s="17" t="str">
        <f>_xlfn.IFS('Raw Data'!D195&lt;30,"Under 30",'Raw Data'!D195&lt;=40,"30-40",'Raw Data'!D195&lt;=50,"41-50",TRUE(),"51+")</f>
        <v>30-40</v>
      </c>
      <c r="G195" s="38">
        <f>'Raw Data'!G195*12</f>
        <v>612000</v>
      </c>
      <c r="H195" s="17" t="str">
        <f t="shared" ref="H195:H258" si="9">_xlfn.IFS(G195&lt;420000,"Low",G195&lt;540000,"Mid",G195&lt;660000,"High",TRUE(),"Premium")</f>
        <v>High</v>
      </c>
      <c r="I195" s="17">
        <f t="shared" ref="I195:I258" si="10">RANK(G195,$G$2:$G$301)</f>
        <v>77</v>
      </c>
      <c r="J195" s="17" t="str">
        <f t="shared" ref="J195:J258" si="11">_xlfn.TEXTJOIN("-",TRUE(),LEFT(C195,3),A195)</f>
        <v>Mar-EMP0194</v>
      </c>
      <c r="K195" s="39">
        <f ca="1">EOMONTH('Raw Data'!E195,12*(YEAR(TODAY())-YEAR('Raw Data'!E195))+3)</f>
        <v>46477</v>
      </c>
      <c r="L195" s="17" t="str">
        <f ca="1">IF(AND('Raw Data'!H195&gt;=4,D195="Active",E195&lt;2),"Watch","")</f>
        <v/>
      </c>
      <c r="M195" s="69" t="str">
        <f>IFERROR(VLOOKUP($A195,'Raw Data'!$A$2:$C$50,3,FALSE()),"Not in first 49 rows")</f>
        <v>Not in first 49 rows</v>
      </c>
    </row>
    <row r="196" spans="1:13" x14ac:dyDescent="0.3">
      <c r="A196" s="68" t="str">
        <f>'Raw Data'!A196</f>
        <v>EMP0195</v>
      </c>
      <c r="B196" s="17" t="str">
        <f>INDEX('Raw Data'!$B$2:$B$301, MATCH(A196,'Raw Data'!$A$2:$A$301,0))</f>
        <v>Priya Joshi</v>
      </c>
      <c r="C196" s="17" t="str">
        <f>VLOOKUP($A196,'Raw Data'!$A$2:$C$301,3,FALSE)</f>
        <v>IT</v>
      </c>
      <c r="D196" s="17" t="str">
        <f>IF(ISBLANK('Raw Data'!F196),"Active","Resigned")</f>
        <v>Active</v>
      </c>
      <c r="E196" s="17">
        <f ca="1">DATEDIF('Raw Data'!E196,IF(ISBLANK('Raw Data'!F196),TODAY(),'Raw Data'!F196),"Y")</f>
        <v>2</v>
      </c>
      <c r="F196" s="17" t="str">
        <f>_xlfn.IFS('Raw Data'!D196&lt;30,"Under 30",'Raw Data'!D196&lt;=40,"30-40",'Raw Data'!D196&lt;=50,"41-50",TRUE(),"51+")</f>
        <v>Under 30</v>
      </c>
      <c r="G196" s="38">
        <f>'Raw Data'!G196*12</f>
        <v>772800</v>
      </c>
      <c r="H196" s="17" t="str">
        <f t="shared" si="9"/>
        <v>Premium</v>
      </c>
      <c r="I196" s="17">
        <f t="shared" si="10"/>
        <v>9</v>
      </c>
      <c r="J196" s="17" t="str">
        <f t="shared" si="11"/>
        <v>IT-EMP0195</v>
      </c>
      <c r="K196" s="39">
        <f ca="1">EOMONTH('Raw Data'!E196,12*(YEAR(TODAY())-YEAR('Raw Data'!E196))+3)</f>
        <v>46477</v>
      </c>
      <c r="L196" s="17" t="str">
        <f ca="1">IF(AND('Raw Data'!H196&gt;=4,D196="Active",E196&lt;2),"Watch","")</f>
        <v/>
      </c>
      <c r="M196" s="69" t="str">
        <f>IFERROR(VLOOKUP($A196,'Raw Data'!$A$2:$C$50,3,FALSE()),"Not in first 49 rows")</f>
        <v>Not in first 49 rows</v>
      </c>
    </row>
    <row r="197" spans="1:13" x14ac:dyDescent="0.3">
      <c r="A197" s="68" t="str">
        <f>'Raw Data'!A197</f>
        <v>EMP0196</v>
      </c>
      <c r="B197" s="17" t="str">
        <f>INDEX('Raw Data'!$B$2:$B$301, MATCH(A197,'Raw Data'!$A$2:$A$301,0))</f>
        <v>Ananya Iyer</v>
      </c>
      <c r="C197" s="17" t="str">
        <f>VLOOKUP($A197,'Raw Data'!$A$2:$C$301,3,FALSE)</f>
        <v>HR</v>
      </c>
      <c r="D197" s="17" t="str">
        <f>IF(ISBLANK('Raw Data'!F197),"Active","Resigned")</f>
        <v>Active</v>
      </c>
      <c r="E197" s="17">
        <f ca="1">DATEDIF('Raw Data'!E197,IF(ISBLANK('Raw Data'!F197),TODAY(),'Raw Data'!F197),"Y")</f>
        <v>8</v>
      </c>
      <c r="F197" s="17" t="str">
        <f>_xlfn.IFS('Raw Data'!D197&lt;30,"Under 30",'Raw Data'!D197&lt;=40,"30-40",'Raw Data'!D197&lt;=50,"41-50",TRUE(),"51+")</f>
        <v>51+</v>
      </c>
      <c r="G197" s="38">
        <f>'Raw Data'!G197*12</f>
        <v>338400</v>
      </c>
      <c r="H197" s="17" t="str">
        <f t="shared" si="9"/>
        <v>Low</v>
      </c>
      <c r="I197" s="17">
        <f t="shared" si="10"/>
        <v>297</v>
      </c>
      <c r="J197" s="17" t="str">
        <f t="shared" si="11"/>
        <v>HR-EMP0196</v>
      </c>
      <c r="K197" s="39">
        <f ca="1">EOMONTH('Raw Data'!E197,12*(YEAR(TODAY())-YEAR('Raw Data'!E197))+3)</f>
        <v>46356</v>
      </c>
      <c r="L197" s="17" t="str">
        <f ca="1">IF(AND('Raw Data'!H197&gt;=4,D197="Active",E197&lt;2),"Watch","")</f>
        <v/>
      </c>
      <c r="M197" s="69" t="str">
        <f>IFERROR(VLOOKUP($A197,'Raw Data'!$A$2:$C$50,3,FALSE()),"Not in first 49 rows")</f>
        <v>Not in first 49 rows</v>
      </c>
    </row>
    <row r="198" spans="1:13" x14ac:dyDescent="0.3">
      <c r="A198" s="68" t="str">
        <f>'Raw Data'!A198</f>
        <v>EMP0197</v>
      </c>
      <c r="B198" s="17" t="str">
        <f>INDEX('Raw Data'!$B$2:$B$301, MATCH(A198,'Raw Data'!$A$2:$A$301,0))</f>
        <v>Deepak Joshi</v>
      </c>
      <c r="C198" s="17" t="str">
        <f>VLOOKUP($A198,'Raw Data'!$A$2:$C$301,3,FALSE)</f>
        <v>Sales</v>
      </c>
      <c r="D198" s="17" t="str">
        <f>IF(ISBLANK('Raw Data'!F198),"Active","Resigned")</f>
        <v>Active</v>
      </c>
      <c r="E198" s="17">
        <f ca="1">DATEDIF('Raw Data'!E198,IF(ISBLANK('Raw Data'!F198),TODAY(),'Raw Data'!F198),"Y")</f>
        <v>9</v>
      </c>
      <c r="F198" s="17" t="str">
        <f>_xlfn.IFS('Raw Data'!D198&lt;30,"Under 30",'Raw Data'!D198&lt;=40,"30-40",'Raw Data'!D198&lt;=50,"41-50",TRUE(),"51+")</f>
        <v>41-50</v>
      </c>
      <c r="G198" s="38">
        <f>'Raw Data'!G198*12</f>
        <v>444000</v>
      </c>
      <c r="H198" s="17" t="str">
        <f t="shared" si="9"/>
        <v>Mid</v>
      </c>
      <c r="I198" s="17">
        <f t="shared" si="10"/>
        <v>232</v>
      </c>
      <c r="J198" s="17" t="str">
        <f t="shared" si="11"/>
        <v>Sal-EMP0197</v>
      </c>
      <c r="K198" s="39">
        <f ca="1">EOMONTH('Raw Data'!E198,12*(YEAR(TODAY())-YEAR('Raw Data'!E198))+3)</f>
        <v>46356</v>
      </c>
      <c r="L198" s="17" t="str">
        <f ca="1">IF(AND('Raw Data'!H198&gt;=4,D198="Active",E198&lt;2),"Watch","")</f>
        <v/>
      </c>
      <c r="M198" s="69" t="str">
        <f>IFERROR(VLOOKUP($A198,'Raw Data'!$A$2:$C$50,3,FALSE()),"Not in first 49 rows")</f>
        <v>Not in first 49 rows</v>
      </c>
    </row>
    <row r="199" spans="1:13" x14ac:dyDescent="0.3">
      <c r="A199" s="68" t="str">
        <f>'Raw Data'!A199</f>
        <v>EMP0198</v>
      </c>
      <c r="B199" s="17" t="str">
        <f>INDEX('Raw Data'!$B$2:$B$301, MATCH(A199,'Raw Data'!$A$2:$A$301,0))</f>
        <v>Reyansh Joshi</v>
      </c>
      <c r="C199" s="17" t="str">
        <f>VLOOKUP($A199,'Raw Data'!$A$2:$C$301,3,FALSE)</f>
        <v>Marketing</v>
      </c>
      <c r="D199" s="17" t="str">
        <f>IF(ISBLANK('Raw Data'!F199),"Active","Resigned")</f>
        <v>Active</v>
      </c>
      <c r="E199" s="17">
        <f ca="1">DATEDIF('Raw Data'!E199,IF(ISBLANK('Raw Data'!F199),TODAY(),'Raw Data'!F199),"Y")</f>
        <v>6</v>
      </c>
      <c r="F199" s="17" t="str">
        <f>_xlfn.IFS('Raw Data'!D199&lt;30,"Under 30",'Raw Data'!D199&lt;=40,"30-40",'Raw Data'!D199&lt;=50,"41-50",TRUE(),"51+")</f>
        <v>Under 30</v>
      </c>
      <c r="G199" s="38">
        <f>'Raw Data'!G199*12</f>
        <v>601200</v>
      </c>
      <c r="H199" s="17" t="str">
        <f t="shared" si="9"/>
        <v>High</v>
      </c>
      <c r="I199" s="17">
        <f t="shared" si="10"/>
        <v>93</v>
      </c>
      <c r="J199" s="17" t="str">
        <f t="shared" si="11"/>
        <v>Mar-EMP0198</v>
      </c>
      <c r="K199" s="39">
        <f ca="1">EOMONTH('Raw Data'!E199,12*(YEAR(TODAY())-YEAR('Raw Data'!E199))+3)</f>
        <v>46326</v>
      </c>
      <c r="L199" s="17" t="str">
        <f ca="1">IF(AND('Raw Data'!H199&gt;=4,D199="Active",E199&lt;2),"Watch","")</f>
        <v/>
      </c>
      <c r="M199" s="69" t="str">
        <f>IFERROR(VLOOKUP($A199,'Raw Data'!$A$2:$C$50,3,FALSE()),"Not in first 49 rows")</f>
        <v>Not in first 49 rows</v>
      </c>
    </row>
    <row r="200" spans="1:13" x14ac:dyDescent="0.3">
      <c r="A200" s="68" t="str">
        <f>'Raw Data'!A200</f>
        <v>EMP0199</v>
      </c>
      <c r="B200" s="17" t="str">
        <f>INDEX('Raw Data'!$B$2:$B$301, MATCH(A200,'Raw Data'!$A$2:$A$301,0))</f>
        <v>Karan Singh</v>
      </c>
      <c r="C200" s="17" t="str">
        <f>VLOOKUP($A200,'Raw Data'!$A$2:$C$301,3,FALSE)</f>
        <v>Sales</v>
      </c>
      <c r="D200" s="17" t="str">
        <f>IF(ISBLANK('Raw Data'!F200),"Active","Resigned")</f>
        <v>Active</v>
      </c>
      <c r="E200" s="17">
        <f ca="1">DATEDIF('Raw Data'!E200,IF(ISBLANK('Raw Data'!F200),TODAY(),'Raw Data'!F200),"Y")</f>
        <v>1</v>
      </c>
      <c r="F200" s="17" t="str">
        <f>_xlfn.IFS('Raw Data'!D200&lt;30,"Under 30",'Raw Data'!D200&lt;=40,"30-40",'Raw Data'!D200&lt;=50,"41-50",TRUE(),"51+")</f>
        <v>30-40</v>
      </c>
      <c r="G200" s="38">
        <f>'Raw Data'!G200*12</f>
        <v>574800</v>
      </c>
      <c r="H200" s="17" t="str">
        <f t="shared" si="9"/>
        <v>High</v>
      </c>
      <c r="I200" s="17">
        <f t="shared" si="10"/>
        <v>114</v>
      </c>
      <c r="J200" s="17" t="str">
        <f t="shared" si="11"/>
        <v>Sal-EMP0199</v>
      </c>
      <c r="K200" s="39">
        <f ca="1">EOMONTH('Raw Data'!E200,12*(YEAR(TODAY())-YEAR('Raw Data'!E200))+3)</f>
        <v>46234</v>
      </c>
      <c r="L200" s="17" t="str">
        <f ca="1">IF(AND('Raw Data'!H200&gt;=4,D200="Active",E200&lt;2),"Watch","")</f>
        <v>Watch</v>
      </c>
      <c r="M200" s="69" t="str">
        <f>IFERROR(VLOOKUP($A200,'Raw Data'!$A$2:$C$50,3,FALSE()),"Not in first 49 rows")</f>
        <v>Not in first 49 rows</v>
      </c>
    </row>
    <row r="201" spans="1:13" x14ac:dyDescent="0.3">
      <c r="A201" s="68" t="str">
        <f>'Raw Data'!A201</f>
        <v>EMP0200</v>
      </c>
      <c r="B201" s="17" t="str">
        <f>INDEX('Raw Data'!$B$2:$B$301, MATCH(A201,'Raw Data'!$A$2:$A$301,0))</f>
        <v>Priya Malhotra</v>
      </c>
      <c r="C201" s="17" t="str">
        <f>VLOOKUP($A201,'Raw Data'!$A$2:$C$301,3,FALSE)</f>
        <v>IT</v>
      </c>
      <c r="D201" s="17" t="str">
        <f>IF(ISBLANK('Raw Data'!F201),"Active","Resigned")</f>
        <v>Resigned</v>
      </c>
      <c r="E201" s="17">
        <f ca="1">DATEDIF('Raw Data'!E201,IF(ISBLANK('Raw Data'!F201),TODAY(),'Raw Data'!F201),"Y")</f>
        <v>2</v>
      </c>
      <c r="F201" s="17" t="str">
        <f>_xlfn.IFS('Raw Data'!D201&lt;30,"Under 30",'Raw Data'!D201&lt;=40,"30-40",'Raw Data'!D201&lt;=50,"41-50",TRUE(),"51+")</f>
        <v>Under 30</v>
      </c>
      <c r="G201" s="38">
        <f>'Raw Data'!G201*12</f>
        <v>768000</v>
      </c>
      <c r="H201" s="17" t="str">
        <f t="shared" si="9"/>
        <v>Premium</v>
      </c>
      <c r="I201" s="17">
        <f t="shared" si="10"/>
        <v>11</v>
      </c>
      <c r="J201" s="17" t="str">
        <f t="shared" si="11"/>
        <v>IT-EMP0200</v>
      </c>
      <c r="K201" s="39">
        <f ca="1">EOMONTH('Raw Data'!E201,12*(YEAR(TODAY())-YEAR('Raw Data'!E201))+3)</f>
        <v>46446</v>
      </c>
      <c r="L201" s="17" t="str">
        <f ca="1">IF(AND('Raw Data'!H201&gt;=4,D201="Active",E201&lt;2),"Watch","")</f>
        <v/>
      </c>
      <c r="M201" s="69" t="str">
        <f>IFERROR(VLOOKUP($A201,'Raw Data'!$A$2:$C$50,3,FALSE()),"Not in first 49 rows")</f>
        <v>Not in first 49 rows</v>
      </c>
    </row>
    <row r="202" spans="1:13" x14ac:dyDescent="0.3">
      <c r="A202" s="68" t="str">
        <f>'Raw Data'!A202</f>
        <v>EMP0201</v>
      </c>
      <c r="B202" s="17" t="str">
        <f>INDEX('Raw Data'!$B$2:$B$301, MATCH(A202,'Raw Data'!$A$2:$A$301,0))</f>
        <v>Swati Bhat</v>
      </c>
      <c r="C202" s="17" t="str">
        <f>VLOOKUP($A202,'Raw Data'!$A$2:$C$301,3,FALSE)</f>
        <v>HR</v>
      </c>
      <c r="D202" s="17" t="str">
        <f>IF(ISBLANK('Raw Data'!F202),"Active","Resigned")</f>
        <v>Active</v>
      </c>
      <c r="E202" s="17">
        <f ca="1">DATEDIF('Raw Data'!E202,IF(ISBLANK('Raw Data'!F202),TODAY(),'Raw Data'!F202),"Y")</f>
        <v>1</v>
      </c>
      <c r="F202" s="17" t="str">
        <f>_xlfn.IFS('Raw Data'!D202&lt;30,"Under 30",'Raw Data'!D202&lt;=40,"30-40",'Raw Data'!D202&lt;=50,"41-50",TRUE(),"51+")</f>
        <v>Under 30</v>
      </c>
      <c r="G202" s="38">
        <f>'Raw Data'!G202*12</f>
        <v>398400</v>
      </c>
      <c r="H202" s="17" t="str">
        <f t="shared" si="9"/>
        <v>Low</v>
      </c>
      <c r="I202" s="17">
        <f t="shared" si="10"/>
        <v>267</v>
      </c>
      <c r="J202" s="17" t="str">
        <f t="shared" si="11"/>
        <v>HR-EMP0201</v>
      </c>
      <c r="K202" s="39">
        <f ca="1">EOMONTH('Raw Data'!E202,12*(YEAR(TODAY())-YEAR('Raw Data'!E202))+3)</f>
        <v>46387</v>
      </c>
      <c r="L202" s="17" t="str">
        <f ca="1">IF(AND('Raw Data'!H202&gt;=4,D202="Active",E202&lt;2),"Watch","")</f>
        <v/>
      </c>
      <c r="M202" s="69" t="str">
        <f>IFERROR(VLOOKUP($A202,'Raw Data'!$A$2:$C$50,3,FALSE()),"Not in first 49 rows")</f>
        <v>Not in first 49 rows</v>
      </c>
    </row>
    <row r="203" spans="1:13" x14ac:dyDescent="0.3">
      <c r="A203" s="68" t="str">
        <f>'Raw Data'!A203</f>
        <v>EMP0202</v>
      </c>
      <c r="B203" s="17" t="str">
        <f>INDEX('Raw Data'!$B$2:$B$301, MATCH(A203,'Raw Data'!$A$2:$A$301,0))</f>
        <v>Suresh Agarwal</v>
      </c>
      <c r="C203" s="17" t="str">
        <f>VLOOKUP($A203,'Raw Data'!$A$2:$C$301,3,FALSE)</f>
        <v>HR</v>
      </c>
      <c r="D203" s="17" t="str">
        <f>IF(ISBLANK('Raw Data'!F203),"Active","Resigned")</f>
        <v>Active</v>
      </c>
      <c r="E203" s="17">
        <f ca="1">DATEDIF('Raw Data'!E203,IF(ISBLANK('Raw Data'!F203),TODAY(),'Raw Data'!F203),"Y")</f>
        <v>9</v>
      </c>
      <c r="F203" s="17" t="str">
        <f>_xlfn.IFS('Raw Data'!D203&lt;30,"Under 30",'Raw Data'!D203&lt;=40,"30-40",'Raw Data'!D203&lt;=50,"41-50",TRUE(),"51+")</f>
        <v>Under 30</v>
      </c>
      <c r="G203" s="38">
        <f>'Raw Data'!G203*12</f>
        <v>456000</v>
      </c>
      <c r="H203" s="17" t="str">
        <f t="shared" si="9"/>
        <v>Mid</v>
      </c>
      <c r="I203" s="17">
        <f t="shared" si="10"/>
        <v>222</v>
      </c>
      <c r="J203" s="17" t="str">
        <f t="shared" si="11"/>
        <v>HR-EMP0202</v>
      </c>
      <c r="K203" s="39">
        <f ca="1">EOMONTH('Raw Data'!E203,12*(YEAR(TODAY())-YEAR('Raw Data'!E203))+3)</f>
        <v>46203</v>
      </c>
      <c r="L203" s="17" t="str">
        <f ca="1">IF(AND('Raw Data'!H203&gt;=4,D203="Active",E203&lt;2),"Watch","")</f>
        <v/>
      </c>
      <c r="M203" s="69" t="str">
        <f>IFERROR(VLOOKUP($A203,'Raw Data'!$A$2:$C$50,3,FALSE()),"Not in first 49 rows")</f>
        <v>Not in first 49 rows</v>
      </c>
    </row>
    <row r="204" spans="1:13" x14ac:dyDescent="0.3">
      <c r="A204" s="68" t="str">
        <f>'Raw Data'!A204</f>
        <v>EMP0203</v>
      </c>
      <c r="B204" s="17" t="str">
        <f>INDEX('Raw Data'!$B$2:$B$301, MATCH(A204,'Raw Data'!$A$2:$A$301,0))</f>
        <v>Pooja Menon</v>
      </c>
      <c r="C204" s="17" t="str">
        <f>VLOOKUP($A204,'Raw Data'!$A$2:$C$301,3,FALSE)</f>
        <v>Marketing</v>
      </c>
      <c r="D204" s="17" t="str">
        <f>IF(ISBLANK('Raw Data'!F204),"Active","Resigned")</f>
        <v>Active</v>
      </c>
      <c r="E204" s="17">
        <f ca="1">DATEDIF('Raw Data'!E204,IF(ISBLANK('Raw Data'!F204),TODAY(),'Raw Data'!F204),"Y")</f>
        <v>7</v>
      </c>
      <c r="F204" s="17" t="str">
        <f>_xlfn.IFS('Raw Data'!D204&lt;30,"Under 30",'Raw Data'!D204&lt;=40,"30-40",'Raw Data'!D204&lt;=50,"41-50",TRUE(),"51+")</f>
        <v>30-40</v>
      </c>
      <c r="G204" s="38">
        <f>'Raw Data'!G204*12</f>
        <v>537600</v>
      </c>
      <c r="H204" s="17" t="str">
        <f t="shared" si="9"/>
        <v>Mid</v>
      </c>
      <c r="I204" s="17">
        <f t="shared" si="10"/>
        <v>157</v>
      </c>
      <c r="J204" s="17" t="str">
        <f t="shared" si="11"/>
        <v>Mar-EMP0203</v>
      </c>
      <c r="K204" s="39">
        <f ca="1">EOMONTH('Raw Data'!E204,12*(YEAR(TODAY())-YEAR('Raw Data'!E204))+3)</f>
        <v>46234</v>
      </c>
      <c r="L204" s="17" t="str">
        <f ca="1">IF(AND('Raw Data'!H204&gt;=4,D204="Active",E204&lt;2),"Watch","")</f>
        <v/>
      </c>
      <c r="M204" s="69" t="str">
        <f>IFERROR(VLOOKUP($A204,'Raw Data'!$A$2:$C$50,3,FALSE()),"Not in first 49 rows")</f>
        <v>Not in first 49 rows</v>
      </c>
    </row>
    <row r="205" spans="1:13" x14ac:dyDescent="0.3">
      <c r="A205" s="68" t="str">
        <f>'Raw Data'!A205</f>
        <v>EMP0204</v>
      </c>
      <c r="B205" s="17" t="str">
        <f>INDEX('Raw Data'!$B$2:$B$301, MATCH(A205,'Raw Data'!$A$2:$A$301,0))</f>
        <v>Suresh Patel</v>
      </c>
      <c r="C205" s="17" t="str">
        <f>VLOOKUP($A205,'Raw Data'!$A$2:$C$301,3,FALSE)</f>
        <v>Operations</v>
      </c>
      <c r="D205" s="17" t="str">
        <f>IF(ISBLANK('Raw Data'!F205),"Active","Resigned")</f>
        <v>Active</v>
      </c>
      <c r="E205" s="17">
        <f ca="1">DATEDIF('Raw Data'!E205,IF(ISBLANK('Raw Data'!F205),TODAY(),'Raw Data'!F205),"Y")</f>
        <v>4</v>
      </c>
      <c r="F205" s="17" t="str">
        <f>_xlfn.IFS('Raw Data'!D205&lt;30,"Under 30",'Raw Data'!D205&lt;=40,"30-40",'Raw Data'!D205&lt;=50,"41-50",TRUE(),"51+")</f>
        <v>Under 30</v>
      </c>
      <c r="G205" s="38">
        <f>'Raw Data'!G205*12</f>
        <v>367200</v>
      </c>
      <c r="H205" s="17" t="str">
        <f t="shared" si="9"/>
        <v>Low</v>
      </c>
      <c r="I205" s="17">
        <f t="shared" si="10"/>
        <v>285</v>
      </c>
      <c r="J205" s="17" t="str">
        <f t="shared" si="11"/>
        <v>Ope-EMP0204</v>
      </c>
      <c r="K205" s="39">
        <f ca="1">EOMONTH('Raw Data'!E205,12*(YEAR(TODAY())-YEAR('Raw Data'!E205))+3)</f>
        <v>46446</v>
      </c>
      <c r="L205" s="17" t="str">
        <f ca="1">IF(AND('Raw Data'!H205&gt;=4,D205="Active",E205&lt;2),"Watch","")</f>
        <v/>
      </c>
      <c r="M205" s="69" t="str">
        <f>IFERROR(VLOOKUP($A205,'Raw Data'!$A$2:$C$50,3,FALSE()),"Not in first 49 rows")</f>
        <v>Not in first 49 rows</v>
      </c>
    </row>
    <row r="206" spans="1:13" x14ac:dyDescent="0.3">
      <c r="A206" s="68" t="str">
        <f>'Raw Data'!A206</f>
        <v>EMP0205</v>
      </c>
      <c r="B206" s="17" t="str">
        <f>INDEX('Raw Data'!$B$2:$B$301, MATCH(A206,'Raw Data'!$A$2:$A$301,0))</f>
        <v>Pooja Bhat</v>
      </c>
      <c r="C206" s="17" t="str">
        <f>VLOOKUP($A206,'Raw Data'!$A$2:$C$301,3,FALSE)</f>
        <v>IT</v>
      </c>
      <c r="D206" s="17" t="str">
        <f>IF(ISBLANK('Raw Data'!F206),"Active","Resigned")</f>
        <v>Active</v>
      </c>
      <c r="E206" s="17">
        <f ca="1">DATEDIF('Raw Data'!E206,IF(ISBLANK('Raw Data'!F206),TODAY(),'Raw Data'!F206),"Y")</f>
        <v>6</v>
      </c>
      <c r="F206" s="17" t="str">
        <f>_xlfn.IFS('Raw Data'!D206&lt;30,"Under 30",'Raw Data'!D206&lt;=40,"30-40",'Raw Data'!D206&lt;=50,"41-50",TRUE(),"51+")</f>
        <v>Under 30</v>
      </c>
      <c r="G206" s="38">
        <f>'Raw Data'!G206*12</f>
        <v>540000</v>
      </c>
      <c r="H206" s="17" t="str">
        <f t="shared" si="9"/>
        <v>High</v>
      </c>
      <c r="I206" s="17">
        <f t="shared" si="10"/>
        <v>152</v>
      </c>
      <c r="J206" s="17" t="str">
        <f t="shared" si="11"/>
        <v>IT-EMP0205</v>
      </c>
      <c r="K206" s="39">
        <f ca="1">EOMONTH('Raw Data'!E206,12*(YEAR(TODAY())-YEAR('Raw Data'!E206))+3)</f>
        <v>46265</v>
      </c>
      <c r="L206" s="17" t="str">
        <f ca="1">IF(AND('Raw Data'!H206&gt;=4,D206="Active",E206&lt;2),"Watch","")</f>
        <v/>
      </c>
      <c r="M206" s="69" t="str">
        <f>IFERROR(VLOOKUP($A206,'Raw Data'!$A$2:$C$50,3,FALSE()),"Not in first 49 rows")</f>
        <v>Not in first 49 rows</v>
      </c>
    </row>
    <row r="207" spans="1:13" x14ac:dyDescent="0.3">
      <c r="A207" s="68" t="str">
        <f>'Raw Data'!A207</f>
        <v>EMP0206</v>
      </c>
      <c r="B207" s="17" t="str">
        <f>INDEX('Raw Data'!$B$2:$B$301, MATCH(A207,'Raw Data'!$A$2:$A$301,0))</f>
        <v>Vikram Iyer</v>
      </c>
      <c r="C207" s="17" t="str">
        <f>VLOOKUP($A207,'Raw Data'!$A$2:$C$301,3,FALSE)</f>
        <v>Operations</v>
      </c>
      <c r="D207" s="17" t="str">
        <f>IF(ISBLANK('Raw Data'!F207),"Active","Resigned")</f>
        <v>Active</v>
      </c>
      <c r="E207" s="17">
        <f ca="1">DATEDIF('Raw Data'!E207,IF(ISBLANK('Raw Data'!F207),TODAY(),'Raw Data'!F207),"Y")</f>
        <v>6</v>
      </c>
      <c r="F207" s="17" t="str">
        <f>_xlfn.IFS('Raw Data'!D207&lt;30,"Under 30",'Raw Data'!D207&lt;=40,"30-40",'Raw Data'!D207&lt;=50,"41-50",TRUE(),"51+")</f>
        <v>Under 30</v>
      </c>
      <c r="G207" s="38">
        <f>'Raw Data'!G207*12</f>
        <v>447600</v>
      </c>
      <c r="H207" s="17" t="str">
        <f t="shared" si="9"/>
        <v>Mid</v>
      </c>
      <c r="I207" s="17">
        <f t="shared" si="10"/>
        <v>226</v>
      </c>
      <c r="J207" s="17" t="str">
        <f t="shared" si="11"/>
        <v>Ope-EMP0206</v>
      </c>
      <c r="K207" s="39">
        <f ca="1">EOMONTH('Raw Data'!E207,12*(YEAR(TODAY())-YEAR('Raw Data'!E207))+3)</f>
        <v>46142</v>
      </c>
      <c r="L207" s="17" t="str">
        <f ca="1">IF(AND('Raw Data'!H207&gt;=4,D207="Active",E207&lt;2),"Watch","")</f>
        <v/>
      </c>
      <c r="M207" s="69" t="str">
        <f>IFERROR(VLOOKUP($A207,'Raw Data'!$A$2:$C$50,3,FALSE()),"Not in first 49 rows")</f>
        <v>Not in first 49 rows</v>
      </c>
    </row>
    <row r="208" spans="1:13" x14ac:dyDescent="0.3">
      <c r="A208" s="68" t="str">
        <f>'Raw Data'!A208</f>
        <v>EMP0207</v>
      </c>
      <c r="B208" s="17" t="str">
        <f>INDEX('Raw Data'!$B$2:$B$301, MATCH(A208,'Raw Data'!$A$2:$A$301,0))</f>
        <v>Ishaan Menon</v>
      </c>
      <c r="C208" s="17" t="str">
        <f>VLOOKUP($A208,'Raw Data'!$A$2:$C$301,3,FALSE)</f>
        <v>Operations</v>
      </c>
      <c r="D208" s="17" t="str">
        <f>IF(ISBLANK('Raw Data'!F208),"Active","Resigned")</f>
        <v>Resigned</v>
      </c>
      <c r="E208" s="17">
        <f ca="1">DATEDIF('Raw Data'!E208,IF(ISBLANK('Raw Data'!F208),TODAY(),'Raw Data'!F208),"Y")</f>
        <v>6</v>
      </c>
      <c r="F208" s="17" t="str">
        <f>_xlfn.IFS('Raw Data'!D208&lt;30,"Under 30",'Raw Data'!D208&lt;=40,"30-40",'Raw Data'!D208&lt;=50,"41-50",TRUE(),"51+")</f>
        <v>41-50</v>
      </c>
      <c r="G208" s="38">
        <f>'Raw Data'!G208*12</f>
        <v>445200</v>
      </c>
      <c r="H208" s="17" t="str">
        <f t="shared" si="9"/>
        <v>Mid</v>
      </c>
      <c r="I208" s="17">
        <f t="shared" si="10"/>
        <v>231</v>
      </c>
      <c r="J208" s="17" t="str">
        <f t="shared" si="11"/>
        <v>Ope-EMP0207</v>
      </c>
      <c r="K208" s="39">
        <f ca="1">EOMONTH('Raw Data'!E208,12*(YEAR(TODAY())-YEAR('Raw Data'!E208))+3)</f>
        <v>46295</v>
      </c>
      <c r="L208" s="17" t="str">
        <f ca="1">IF(AND('Raw Data'!H208&gt;=4,D208="Active",E208&lt;2),"Watch","")</f>
        <v/>
      </c>
      <c r="M208" s="69" t="str">
        <f>IFERROR(VLOOKUP($A208,'Raw Data'!$A$2:$C$50,3,FALSE()),"Not in first 49 rows")</f>
        <v>Not in first 49 rows</v>
      </c>
    </row>
    <row r="209" spans="1:13" x14ac:dyDescent="0.3">
      <c r="A209" s="68" t="str">
        <f>'Raw Data'!A209</f>
        <v>EMP0208</v>
      </c>
      <c r="B209" s="17" t="str">
        <f>INDEX('Raw Data'!$B$2:$B$301, MATCH(A209,'Raw Data'!$A$2:$A$301,0))</f>
        <v>Rajesh Chopra</v>
      </c>
      <c r="C209" s="17" t="str">
        <f>VLOOKUP($A209,'Raw Data'!$A$2:$C$301,3,FALSE)</f>
        <v>Operations</v>
      </c>
      <c r="D209" s="17" t="str">
        <f>IF(ISBLANK('Raw Data'!F209),"Active","Resigned")</f>
        <v>Resigned</v>
      </c>
      <c r="E209" s="17">
        <f ca="1">DATEDIF('Raw Data'!E209,IF(ISBLANK('Raw Data'!F209),TODAY(),'Raw Data'!F209),"Y")</f>
        <v>1</v>
      </c>
      <c r="F209" s="17" t="str">
        <f>_xlfn.IFS('Raw Data'!D209&lt;30,"Under 30",'Raw Data'!D209&lt;=40,"30-40",'Raw Data'!D209&lt;=50,"41-50",TRUE(),"51+")</f>
        <v>30-40</v>
      </c>
      <c r="G209" s="38">
        <f>'Raw Data'!G209*12</f>
        <v>571200</v>
      </c>
      <c r="H209" s="17" t="str">
        <f t="shared" si="9"/>
        <v>High</v>
      </c>
      <c r="I209" s="17">
        <f t="shared" si="10"/>
        <v>117</v>
      </c>
      <c r="J209" s="17" t="str">
        <f t="shared" si="11"/>
        <v>Ope-EMP0208</v>
      </c>
      <c r="K209" s="39">
        <f ca="1">EOMONTH('Raw Data'!E209,12*(YEAR(TODAY())-YEAR('Raw Data'!E209))+3)</f>
        <v>46173</v>
      </c>
      <c r="L209" s="17" t="str">
        <f ca="1">IF(AND('Raw Data'!H209&gt;=4,D209="Active",E209&lt;2),"Watch","")</f>
        <v/>
      </c>
      <c r="M209" s="69" t="str">
        <f>IFERROR(VLOOKUP($A209,'Raw Data'!$A$2:$C$50,3,FALSE()),"Not in first 49 rows")</f>
        <v>Not in first 49 rows</v>
      </c>
    </row>
    <row r="210" spans="1:13" x14ac:dyDescent="0.3">
      <c r="A210" s="68" t="str">
        <f>'Raw Data'!A210</f>
        <v>EMP0209</v>
      </c>
      <c r="B210" s="17" t="str">
        <f>INDEX('Raw Data'!$B$2:$B$301, MATCH(A210,'Raw Data'!$A$2:$A$301,0))</f>
        <v>Riya Reddy</v>
      </c>
      <c r="C210" s="17" t="str">
        <f>VLOOKUP($A210,'Raw Data'!$A$2:$C$301,3,FALSE)</f>
        <v>Sales</v>
      </c>
      <c r="D210" s="17" t="str">
        <f>IF(ISBLANK('Raw Data'!F210),"Active","Resigned")</f>
        <v>Active</v>
      </c>
      <c r="E210" s="17">
        <f ca="1">DATEDIF('Raw Data'!E210,IF(ISBLANK('Raw Data'!F210),TODAY(),'Raw Data'!F210),"Y")</f>
        <v>10</v>
      </c>
      <c r="F210" s="17" t="str">
        <f>_xlfn.IFS('Raw Data'!D210&lt;30,"Under 30",'Raw Data'!D210&lt;=40,"30-40",'Raw Data'!D210&lt;=50,"41-50",TRUE(),"51+")</f>
        <v>30-40</v>
      </c>
      <c r="G210" s="38">
        <f>'Raw Data'!G210*12</f>
        <v>424800</v>
      </c>
      <c r="H210" s="17" t="str">
        <f t="shared" si="9"/>
        <v>Mid</v>
      </c>
      <c r="I210" s="17">
        <f t="shared" si="10"/>
        <v>246</v>
      </c>
      <c r="J210" s="17" t="str">
        <f t="shared" si="11"/>
        <v>Sal-EMP0209</v>
      </c>
      <c r="K210" s="39">
        <f ca="1">EOMONTH('Raw Data'!E210,12*(YEAR(TODAY())-YEAR('Raw Data'!E210))+3)</f>
        <v>46295</v>
      </c>
      <c r="L210" s="17" t="str">
        <f ca="1">IF(AND('Raw Data'!H210&gt;=4,D210="Active",E210&lt;2),"Watch","")</f>
        <v/>
      </c>
      <c r="M210" s="69" t="str">
        <f>IFERROR(VLOOKUP($A210,'Raw Data'!$A$2:$C$50,3,FALSE()),"Not in first 49 rows")</f>
        <v>Not in first 49 rows</v>
      </c>
    </row>
    <row r="211" spans="1:13" x14ac:dyDescent="0.3">
      <c r="A211" s="68" t="str">
        <f>'Raw Data'!A211</f>
        <v>EMP0210</v>
      </c>
      <c r="B211" s="17" t="str">
        <f>INDEX('Raw Data'!$B$2:$B$301, MATCH(A211,'Raw Data'!$A$2:$A$301,0))</f>
        <v>Sunita Chopra</v>
      </c>
      <c r="C211" s="17" t="str">
        <f>VLOOKUP($A211,'Raw Data'!$A$2:$C$301,3,FALSE)</f>
        <v>Finance</v>
      </c>
      <c r="D211" s="17" t="str">
        <f>IF(ISBLANK('Raw Data'!F211),"Active","Resigned")</f>
        <v>Active</v>
      </c>
      <c r="E211" s="17">
        <f ca="1">DATEDIF('Raw Data'!E211,IF(ISBLANK('Raw Data'!F211),TODAY(),'Raw Data'!F211),"Y")</f>
        <v>2</v>
      </c>
      <c r="F211" s="17" t="str">
        <f>_xlfn.IFS('Raw Data'!D211&lt;30,"Under 30",'Raw Data'!D211&lt;=40,"30-40",'Raw Data'!D211&lt;=50,"41-50",TRUE(),"51+")</f>
        <v>Under 30</v>
      </c>
      <c r="G211" s="38">
        <f>'Raw Data'!G211*12</f>
        <v>574800</v>
      </c>
      <c r="H211" s="17" t="str">
        <f t="shared" si="9"/>
        <v>High</v>
      </c>
      <c r="I211" s="17">
        <f t="shared" si="10"/>
        <v>114</v>
      </c>
      <c r="J211" s="17" t="str">
        <f t="shared" si="11"/>
        <v>Fin-EMP0210</v>
      </c>
      <c r="K211" s="39">
        <f ca="1">EOMONTH('Raw Data'!E211,12*(YEAR(TODAY())-YEAR('Raw Data'!E211))+3)</f>
        <v>46295</v>
      </c>
      <c r="L211" s="17" t="str">
        <f ca="1">IF(AND('Raw Data'!H211&gt;=4,D211="Active",E211&lt;2),"Watch","")</f>
        <v/>
      </c>
      <c r="M211" s="69" t="str">
        <f>IFERROR(VLOOKUP($A211,'Raw Data'!$A$2:$C$50,3,FALSE()),"Not in first 49 rows")</f>
        <v>Not in first 49 rows</v>
      </c>
    </row>
    <row r="212" spans="1:13" x14ac:dyDescent="0.3">
      <c r="A212" s="68" t="str">
        <f>'Raw Data'!A212</f>
        <v>EMP0211</v>
      </c>
      <c r="B212" s="17" t="str">
        <f>INDEX('Raw Data'!$B$2:$B$301, MATCH(A212,'Raw Data'!$A$2:$A$301,0))</f>
        <v>Vihaan Mehta</v>
      </c>
      <c r="C212" s="17" t="str">
        <f>VLOOKUP($A212,'Raw Data'!$A$2:$C$301,3,FALSE)</f>
        <v>Finance</v>
      </c>
      <c r="D212" s="17" t="str">
        <f>IF(ISBLANK('Raw Data'!F212),"Active","Resigned")</f>
        <v>Active</v>
      </c>
      <c r="E212" s="17">
        <f ca="1">DATEDIF('Raw Data'!E212,IF(ISBLANK('Raw Data'!F212),TODAY(),'Raw Data'!F212),"Y")</f>
        <v>1</v>
      </c>
      <c r="F212" s="17" t="str">
        <f>_xlfn.IFS('Raw Data'!D212&lt;30,"Under 30",'Raw Data'!D212&lt;=40,"30-40",'Raw Data'!D212&lt;=50,"41-50",TRUE(),"51+")</f>
        <v>Under 30</v>
      </c>
      <c r="G212" s="38">
        <f>'Raw Data'!G212*12</f>
        <v>747600</v>
      </c>
      <c r="H212" s="17" t="str">
        <f t="shared" si="9"/>
        <v>Premium</v>
      </c>
      <c r="I212" s="17">
        <f t="shared" si="10"/>
        <v>18</v>
      </c>
      <c r="J212" s="17" t="str">
        <f t="shared" si="11"/>
        <v>Fin-EMP0211</v>
      </c>
      <c r="K212" s="39">
        <f ca="1">EOMONTH('Raw Data'!E212,12*(YEAR(TODAY())-YEAR('Raw Data'!E212))+3)</f>
        <v>46477</v>
      </c>
      <c r="L212" s="17" t="str">
        <f ca="1">IF(AND('Raw Data'!H212&gt;=4,D212="Active",E212&lt;2),"Watch","")</f>
        <v>Watch</v>
      </c>
      <c r="M212" s="69" t="str">
        <f>IFERROR(VLOOKUP($A212,'Raw Data'!$A$2:$C$50,3,FALSE()),"Not in first 49 rows")</f>
        <v>Not in first 49 rows</v>
      </c>
    </row>
    <row r="213" spans="1:13" x14ac:dyDescent="0.3">
      <c r="A213" s="68" t="str">
        <f>'Raw Data'!A213</f>
        <v>EMP0212</v>
      </c>
      <c r="B213" s="17" t="str">
        <f>INDEX('Raw Data'!$B$2:$B$301, MATCH(A213,'Raw Data'!$A$2:$A$301,0))</f>
        <v>Nikhil Mehta</v>
      </c>
      <c r="C213" s="17" t="str">
        <f>VLOOKUP($A213,'Raw Data'!$A$2:$C$301,3,FALSE)</f>
        <v>Marketing</v>
      </c>
      <c r="D213" s="17" t="str">
        <f>IF(ISBLANK('Raw Data'!F213),"Active","Resigned")</f>
        <v>Active</v>
      </c>
      <c r="E213" s="17">
        <f ca="1">DATEDIF('Raw Data'!E213,IF(ISBLANK('Raw Data'!F213),TODAY(),'Raw Data'!F213),"Y")</f>
        <v>2</v>
      </c>
      <c r="F213" s="17" t="str">
        <f>_xlfn.IFS('Raw Data'!D213&lt;30,"Under 30",'Raw Data'!D213&lt;=40,"30-40",'Raw Data'!D213&lt;=50,"41-50",TRUE(),"51+")</f>
        <v>51+</v>
      </c>
      <c r="G213" s="38">
        <f>'Raw Data'!G213*12</f>
        <v>626400</v>
      </c>
      <c r="H213" s="17" t="str">
        <f t="shared" si="9"/>
        <v>High</v>
      </c>
      <c r="I213" s="17">
        <f t="shared" si="10"/>
        <v>67</v>
      </c>
      <c r="J213" s="17" t="str">
        <f t="shared" si="11"/>
        <v>Mar-EMP0212</v>
      </c>
      <c r="K213" s="39">
        <f ca="1">EOMONTH('Raw Data'!E213,12*(YEAR(TODAY())-YEAR('Raw Data'!E213))+3)</f>
        <v>46418</v>
      </c>
      <c r="L213" s="17" t="str">
        <f ca="1">IF(AND('Raw Data'!H213&gt;=4,D213="Active",E213&lt;2),"Watch","")</f>
        <v/>
      </c>
      <c r="M213" s="69" t="str">
        <f>IFERROR(VLOOKUP($A213,'Raw Data'!$A$2:$C$50,3,FALSE()),"Not in first 49 rows")</f>
        <v>Not in first 49 rows</v>
      </c>
    </row>
    <row r="214" spans="1:13" x14ac:dyDescent="0.3">
      <c r="A214" s="68" t="str">
        <f>'Raw Data'!A214</f>
        <v>EMP0213</v>
      </c>
      <c r="B214" s="17" t="str">
        <f>INDEX('Raw Data'!$B$2:$B$301, MATCH(A214,'Raw Data'!$A$2:$A$301,0))</f>
        <v>Reyansh Kapoor</v>
      </c>
      <c r="C214" s="17" t="str">
        <f>VLOOKUP($A214,'Raw Data'!$A$2:$C$301,3,FALSE)</f>
        <v>Sales</v>
      </c>
      <c r="D214" s="17" t="str">
        <f>IF(ISBLANK('Raw Data'!F214),"Active","Resigned")</f>
        <v>Active</v>
      </c>
      <c r="E214" s="17">
        <f ca="1">DATEDIF('Raw Data'!E214,IF(ISBLANK('Raw Data'!F214),TODAY(),'Raw Data'!F214),"Y")</f>
        <v>3</v>
      </c>
      <c r="F214" s="17" t="str">
        <f>_xlfn.IFS('Raw Data'!D214&lt;30,"Under 30",'Raw Data'!D214&lt;=40,"30-40",'Raw Data'!D214&lt;=50,"41-50",TRUE(),"51+")</f>
        <v>41-50</v>
      </c>
      <c r="G214" s="38">
        <f>'Raw Data'!G214*12</f>
        <v>387600</v>
      </c>
      <c r="H214" s="17" t="str">
        <f t="shared" si="9"/>
        <v>Low</v>
      </c>
      <c r="I214" s="17">
        <f t="shared" si="10"/>
        <v>273</v>
      </c>
      <c r="J214" s="17" t="str">
        <f t="shared" si="11"/>
        <v>Sal-EMP0213</v>
      </c>
      <c r="K214" s="39">
        <f ca="1">EOMONTH('Raw Data'!E214,12*(YEAR(TODAY())-YEAR('Raw Data'!E214))+3)</f>
        <v>46418</v>
      </c>
      <c r="L214" s="17" t="str">
        <f ca="1">IF(AND('Raw Data'!H214&gt;=4,D214="Active",E214&lt;2),"Watch","")</f>
        <v/>
      </c>
      <c r="M214" s="69" t="str">
        <f>IFERROR(VLOOKUP($A214,'Raw Data'!$A$2:$C$50,3,FALSE()),"Not in first 49 rows")</f>
        <v>Not in first 49 rows</v>
      </c>
    </row>
    <row r="215" spans="1:13" x14ac:dyDescent="0.3">
      <c r="A215" s="68" t="str">
        <f>'Raw Data'!A215</f>
        <v>EMP0214</v>
      </c>
      <c r="B215" s="17" t="str">
        <f>INDEX('Raw Data'!$B$2:$B$301, MATCH(A215,'Raw Data'!$A$2:$A$301,0))</f>
        <v>Ishaan Gupta</v>
      </c>
      <c r="C215" s="17" t="str">
        <f>VLOOKUP($A215,'Raw Data'!$A$2:$C$301,3,FALSE)</f>
        <v>Finance</v>
      </c>
      <c r="D215" s="17" t="str">
        <f>IF(ISBLANK('Raw Data'!F215),"Active","Resigned")</f>
        <v>Active</v>
      </c>
      <c r="E215" s="17">
        <f ca="1">DATEDIF('Raw Data'!E215,IF(ISBLANK('Raw Data'!F215),TODAY(),'Raw Data'!F215),"Y")</f>
        <v>7</v>
      </c>
      <c r="F215" s="17" t="str">
        <f>_xlfn.IFS('Raw Data'!D215&lt;30,"Under 30",'Raw Data'!D215&lt;=40,"30-40",'Raw Data'!D215&lt;=50,"41-50",TRUE(),"51+")</f>
        <v>30-40</v>
      </c>
      <c r="G215" s="38">
        <f>'Raw Data'!G215*12</f>
        <v>698400</v>
      </c>
      <c r="H215" s="17" t="str">
        <f t="shared" si="9"/>
        <v>Premium</v>
      </c>
      <c r="I215" s="17">
        <f t="shared" si="10"/>
        <v>28</v>
      </c>
      <c r="J215" s="17" t="str">
        <f t="shared" si="11"/>
        <v>Fin-EMP0214</v>
      </c>
      <c r="K215" s="39">
        <f ca="1">EOMONTH('Raw Data'!E215,12*(YEAR(TODAY())-YEAR('Raw Data'!E215))+3)</f>
        <v>46295</v>
      </c>
      <c r="L215" s="17" t="str">
        <f ca="1">IF(AND('Raw Data'!H215&gt;=4,D215="Active",E215&lt;2),"Watch","")</f>
        <v/>
      </c>
      <c r="M215" s="69" t="str">
        <f>IFERROR(VLOOKUP($A215,'Raw Data'!$A$2:$C$50,3,FALSE()),"Not in first 49 rows")</f>
        <v>Not in first 49 rows</v>
      </c>
    </row>
    <row r="216" spans="1:13" x14ac:dyDescent="0.3">
      <c r="A216" s="68" t="str">
        <f>'Raw Data'!A216</f>
        <v>EMP0215</v>
      </c>
      <c r="B216" s="17" t="str">
        <f>INDEX('Raw Data'!$B$2:$B$301, MATCH(A216,'Raw Data'!$A$2:$A$301,0))</f>
        <v>Deepak Joshi</v>
      </c>
      <c r="C216" s="17" t="str">
        <f>VLOOKUP($A216,'Raw Data'!$A$2:$C$301,3,FALSE)</f>
        <v>HR</v>
      </c>
      <c r="D216" s="17" t="str">
        <f>IF(ISBLANK('Raw Data'!F216),"Active","Resigned")</f>
        <v>Active</v>
      </c>
      <c r="E216" s="17">
        <f ca="1">DATEDIF('Raw Data'!E216,IF(ISBLANK('Raw Data'!F216),TODAY(),'Raw Data'!F216),"Y")</f>
        <v>2</v>
      </c>
      <c r="F216" s="17" t="str">
        <f>_xlfn.IFS('Raw Data'!D216&lt;30,"Under 30",'Raw Data'!D216&lt;=40,"30-40",'Raw Data'!D216&lt;=50,"41-50",TRUE(),"51+")</f>
        <v>Under 30</v>
      </c>
      <c r="G216" s="38">
        <f>'Raw Data'!G216*12</f>
        <v>414000</v>
      </c>
      <c r="H216" s="17" t="str">
        <f t="shared" si="9"/>
        <v>Low</v>
      </c>
      <c r="I216" s="17">
        <f t="shared" si="10"/>
        <v>257</v>
      </c>
      <c r="J216" s="17" t="str">
        <f t="shared" si="11"/>
        <v>HR-EMP0215</v>
      </c>
      <c r="K216" s="39">
        <f ca="1">EOMONTH('Raw Data'!E216,12*(YEAR(TODAY())-YEAR('Raw Data'!E216))+3)</f>
        <v>46173</v>
      </c>
      <c r="L216" s="17" t="str">
        <f ca="1">IF(AND('Raw Data'!H216&gt;=4,D216="Active",E216&lt;2),"Watch","")</f>
        <v/>
      </c>
      <c r="M216" s="69" t="str">
        <f>IFERROR(VLOOKUP($A216,'Raw Data'!$A$2:$C$50,3,FALSE()),"Not in first 49 rows")</f>
        <v>Not in first 49 rows</v>
      </c>
    </row>
    <row r="217" spans="1:13" x14ac:dyDescent="0.3">
      <c r="A217" s="68" t="str">
        <f>'Raw Data'!A217</f>
        <v>EMP0216</v>
      </c>
      <c r="B217" s="17" t="str">
        <f>INDEX('Raw Data'!$B$2:$B$301, MATCH(A217,'Raw Data'!$A$2:$A$301,0))</f>
        <v>Anika Verma</v>
      </c>
      <c r="C217" s="17" t="str">
        <f>VLOOKUP($A217,'Raw Data'!$A$2:$C$301,3,FALSE)</f>
        <v>Sales</v>
      </c>
      <c r="D217" s="17" t="str">
        <f>IF(ISBLANK('Raw Data'!F217),"Active","Resigned")</f>
        <v>Active</v>
      </c>
      <c r="E217" s="17">
        <f ca="1">DATEDIF('Raw Data'!E217,IF(ISBLANK('Raw Data'!F217),TODAY(),'Raw Data'!F217),"Y")</f>
        <v>6</v>
      </c>
      <c r="F217" s="17" t="str">
        <f>_xlfn.IFS('Raw Data'!D217&lt;30,"Under 30",'Raw Data'!D217&lt;=40,"30-40",'Raw Data'!D217&lt;=50,"41-50",TRUE(),"51+")</f>
        <v>41-50</v>
      </c>
      <c r="G217" s="38">
        <f>'Raw Data'!G217*12</f>
        <v>552000</v>
      </c>
      <c r="H217" s="17" t="str">
        <f t="shared" si="9"/>
        <v>High</v>
      </c>
      <c r="I217" s="17">
        <f t="shared" si="10"/>
        <v>134</v>
      </c>
      <c r="J217" s="17" t="str">
        <f t="shared" si="11"/>
        <v>Sal-EMP0216</v>
      </c>
      <c r="K217" s="39">
        <f ca="1">EOMONTH('Raw Data'!E217,12*(YEAR(TODAY())-YEAR('Raw Data'!E217))+3)</f>
        <v>46142</v>
      </c>
      <c r="L217" s="17" t="str">
        <f ca="1">IF(AND('Raw Data'!H217&gt;=4,D217="Active",E217&lt;2),"Watch","")</f>
        <v/>
      </c>
      <c r="M217" s="69" t="str">
        <f>IFERROR(VLOOKUP($A217,'Raw Data'!$A$2:$C$50,3,FALSE()),"Not in first 49 rows")</f>
        <v>Not in first 49 rows</v>
      </c>
    </row>
    <row r="218" spans="1:13" x14ac:dyDescent="0.3">
      <c r="A218" s="68" t="str">
        <f>'Raw Data'!A218</f>
        <v>EMP0217</v>
      </c>
      <c r="B218" s="17" t="str">
        <f>INDEX('Raw Data'!$B$2:$B$301, MATCH(A218,'Raw Data'!$A$2:$A$301,0))</f>
        <v>Vivaan Singh</v>
      </c>
      <c r="C218" s="17" t="str">
        <f>VLOOKUP($A218,'Raw Data'!$A$2:$C$301,3,FALSE)</f>
        <v>IT</v>
      </c>
      <c r="D218" s="17" t="str">
        <f>IF(ISBLANK('Raw Data'!F218),"Active","Resigned")</f>
        <v>Resigned</v>
      </c>
      <c r="E218" s="17">
        <f ca="1">DATEDIF('Raw Data'!E218,IF(ISBLANK('Raw Data'!F218),TODAY(),'Raw Data'!F218),"Y")</f>
        <v>2</v>
      </c>
      <c r="F218" s="17" t="str">
        <f>_xlfn.IFS('Raw Data'!D218&lt;30,"Under 30",'Raw Data'!D218&lt;=40,"30-40",'Raw Data'!D218&lt;=50,"41-50",TRUE(),"51+")</f>
        <v>41-50</v>
      </c>
      <c r="G218" s="38">
        <f>'Raw Data'!G218*12</f>
        <v>752400</v>
      </c>
      <c r="H218" s="17" t="str">
        <f t="shared" si="9"/>
        <v>Premium</v>
      </c>
      <c r="I218" s="17">
        <f t="shared" si="10"/>
        <v>17</v>
      </c>
      <c r="J218" s="17" t="str">
        <f t="shared" si="11"/>
        <v>IT-EMP0217</v>
      </c>
      <c r="K218" s="39">
        <f ca="1">EOMONTH('Raw Data'!E218,12*(YEAR(TODAY())-YEAR('Raw Data'!E218))+3)</f>
        <v>46265</v>
      </c>
      <c r="L218" s="17" t="str">
        <f ca="1">IF(AND('Raw Data'!H218&gt;=4,D218="Active",E218&lt;2),"Watch","")</f>
        <v/>
      </c>
      <c r="M218" s="69" t="str">
        <f>IFERROR(VLOOKUP($A218,'Raw Data'!$A$2:$C$50,3,FALSE()),"Not in first 49 rows")</f>
        <v>Not in first 49 rows</v>
      </c>
    </row>
    <row r="219" spans="1:13" x14ac:dyDescent="0.3">
      <c r="A219" s="68" t="str">
        <f>'Raw Data'!A219</f>
        <v>EMP0218</v>
      </c>
      <c r="B219" s="17" t="str">
        <f>INDEX('Raw Data'!$B$2:$B$301, MATCH(A219,'Raw Data'!$A$2:$A$301,0))</f>
        <v>Nikhil Menon</v>
      </c>
      <c r="C219" s="17" t="str">
        <f>VLOOKUP($A219,'Raw Data'!$A$2:$C$301,3,FALSE)</f>
        <v>Sales</v>
      </c>
      <c r="D219" s="17" t="str">
        <f>IF(ISBLANK('Raw Data'!F219),"Active","Resigned")</f>
        <v>Active</v>
      </c>
      <c r="E219" s="17">
        <f ca="1">DATEDIF('Raw Data'!E219,IF(ISBLANK('Raw Data'!F219),TODAY(),'Raw Data'!F219),"Y")</f>
        <v>2</v>
      </c>
      <c r="F219" s="17" t="str">
        <f>_xlfn.IFS('Raw Data'!D219&lt;30,"Under 30",'Raw Data'!D219&lt;=40,"30-40",'Raw Data'!D219&lt;=50,"41-50",TRUE(),"51+")</f>
        <v>30-40</v>
      </c>
      <c r="G219" s="38">
        <f>'Raw Data'!G219*12</f>
        <v>442800</v>
      </c>
      <c r="H219" s="17" t="str">
        <f t="shared" si="9"/>
        <v>Mid</v>
      </c>
      <c r="I219" s="17">
        <f t="shared" si="10"/>
        <v>233</v>
      </c>
      <c r="J219" s="17" t="str">
        <f t="shared" si="11"/>
        <v>Sal-EMP0218</v>
      </c>
      <c r="K219" s="39">
        <f ca="1">EOMONTH('Raw Data'!E219,12*(YEAR(TODAY())-YEAR('Raw Data'!E219))+3)</f>
        <v>46356</v>
      </c>
      <c r="L219" s="17" t="str">
        <f ca="1">IF(AND('Raw Data'!H219&gt;=4,D219="Active",E219&lt;2),"Watch","")</f>
        <v/>
      </c>
      <c r="M219" s="69" t="str">
        <f>IFERROR(VLOOKUP($A219,'Raw Data'!$A$2:$C$50,3,FALSE()),"Not in first 49 rows")</f>
        <v>Not in first 49 rows</v>
      </c>
    </row>
    <row r="220" spans="1:13" x14ac:dyDescent="0.3">
      <c r="A220" s="68" t="str">
        <f>'Raw Data'!A220</f>
        <v>EMP0219</v>
      </c>
      <c r="B220" s="17" t="str">
        <f>INDEX('Raw Data'!$B$2:$B$301, MATCH(A220,'Raw Data'!$A$2:$A$301,0))</f>
        <v>Arjun Menon</v>
      </c>
      <c r="C220" s="17" t="str">
        <f>VLOOKUP($A220,'Raw Data'!$A$2:$C$301,3,FALSE)</f>
        <v>Marketing</v>
      </c>
      <c r="D220" s="17" t="str">
        <f>IF(ISBLANK('Raw Data'!F220),"Active","Resigned")</f>
        <v>Active</v>
      </c>
      <c r="E220" s="17">
        <f ca="1">DATEDIF('Raw Data'!E220,IF(ISBLANK('Raw Data'!F220),TODAY(),'Raw Data'!F220),"Y")</f>
        <v>6</v>
      </c>
      <c r="F220" s="17" t="str">
        <f>_xlfn.IFS('Raw Data'!D220&lt;30,"Under 30",'Raw Data'!D220&lt;=40,"30-40",'Raw Data'!D220&lt;=50,"41-50",TRUE(),"51+")</f>
        <v>51+</v>
      </c>
      <c r="G220" s="38">
        <f>'Raw Data'!G220*12</f>
        <v>547200</v>
      </c>
      <c r="H220" s="17" t="str">
        <f t="shared" si="9"/>
        <v>High</v>
      </c>
      <c r="I220" s="17">
        <f t="shared" si="10"/>
        <v>141</v>
      </c>
      <c r="J220" s="17" t="str">
        <f t="shared" si="11"/>
        <v>Mar-EMP0219</v>
      </c>
      <c r="K220" s="39">
        <f ca="1">EOMONTH('Raw Data'!E220,12*(YEAR(TODAY())-YEAR('Raw Data'!E220))+3)</f>
        <v>46173</v>
      </c>
      <c r="L220" s="17" t="str">
        <f ca="1">IF(AND('Raw Data'!H220&gt;=4,D220="Active",E220&lt;2),"Watch","")</f>
        <v/>
      </c>
      <c r="M220" s="69" t="str">
        <f>IFERROR(VLOOKUP($A220,'Raw Data'!$A$2:$C$50,3,FALSE()),"Not in first 49 rows")</f>
        <v>Not in first 49 rows</v>
      </c>
    </row>
    <row r="221" spans="1:13" x14ac:dyDescent="0.3">
      <c r="A221" s="68" t="str">
        <f>'Raw Data'!A221</f>
        <v>EMP0220</v>
      </c>
      <c r="B221" s="17" t="str">
        <f>INDEX('Raw Data'!$B$2:$B$301, MATCH(A221,'Raw Data'!$A$2:$A$301,0))</f>
        <v>Kabir Sharma</v>
      </c>
      <c r="C221" s="17" t="str">
        <f>VLOOKUP($A221,'Raw Data'!$A$2:$C$301,3,FALSE)</f>
        <v>Operations</v>
      </c>
      <c r="D221" s="17" t="str">
        <f>IF(ISBLANK('Raw Data'!F221),"Active","Resigned")</f>
        <v>Active</v>
      </c>
      <c r="E221" s="17">
        <f ca="1">DATEDIF('Raw Data'!E221,IF(ISBLANK('Raw Data'!F221),TODAY(),'Raw Data'!F221),"Y")</f>
        <v>4</v>
      </c>
      <c r="F221" s="17" t="str">
        <f>_xlfn.IFS('Raw Data'!D221&lt;30,"Under 30",'Raw Data'!D221&lt;=40,"30-40",'Raw Data'!D221&lt;=50,"41-50",TRUE(),"51+")</f>
        <v>30-40</v>
      </c>
      <c r="G221" s="38">
        <f>'Raw Data'!G221*12</f>
        <v>610800</v>
      </c>
      <c r="H221" s="17" t="str">
        <f t="shared" si="9"/>
        <v>High</v>
      </c>
      <c r="I221" s="17">
        <f t="shared" si="10"/>
        <v>79</v>
      </c>
      <c r="J221" s="17" t="str">
        <f t="shared" si="11"/>
        <v>Ope-EMP0220</v>
      </c>
      <c r="K221" s="39">
        <f ca="1">EOMONTH('Raw Data'!E221,12*(YEAR(TODAY())-YEAR('Raw Data'!E221))+3)</f>
        <v>46356</v>
      </c>
      <c r="L221" s="17" t="str">
        <f ca="1">IF(AND('Raw Data'!H221&gt;=4,D221="Active",E221&lt;2),"Watch","")</f>
        <v/>
      </c>
      <c r="M221" s="69" t="str">
        <f>IFERROR(VLOOKUP($A221,'Raw Data'!$A$2:$C$50,3,FALSE()),"Not in first 49 rows")</f>
        <v>Not in first 49 rows</v>
      </c>
    </row>
    <row r="222" spans="1:13" x14ac:dyDescent="0.3">
      <c r="A222" s="68" t="str">
        <f>'Raw Data'!A222</f>
        <v>EMP0221</v>
      </c>
      <c r="B222" s="17" t="str">
        <f>INDEX('Raw Data'!$B$2:$B$301, MATCH(A222,'Raw Data'!$A$2:$A$301,0))</f>
        <v>Kiara Malhotra</v>
      </c>
      <c r="C222" s="17" t="str">
        <f>VLOOKUP($A222,'Raw Data'!$A$2:$C$301,3,FALSE)</f>
        <v>Marketing</v>
      </c>
      <c r="D222" s="17" t="str">
        <f>IF(ISBLANK('Raw Data'!F222),"Active","Resigned")</f>
        <v>Active</v>
      </c>
      <c r="E222" s="17">
        <f ca="1">DATEDIF('Raw Data'!E222,IF(ISBLANK('Raw Data'!F222),TODAY(),'Raw Data'!F222),"Y")</f>
        <v>2</v>
      </c>
      <c r="F222" s="17" t="str">
        <f>_xlfn.IFS('Raw Data'!D222&lt;30,"Under 30",'Raw Data'!D222&lt;=40,"30-40",'Raw Data'!D222&lt;=50,"41-50",TRUE(),"51+")</f>
        <v>30-40</v>
      </c>
      <c r="G222" s="38">
        <f>'Raw Data'!G222*12</f>
        <v>501600</v>
      </c>
      <c r="H222" s="17" t="str">
        <f t="shared" si="9"/>
        <v>Mid</v>
      </c>
      <c r="I222" s="17">
        <f t="shared" si="10"/>
        <v>187</v>
      </c>
      <c r="J222" s="17" t="str">
        <f t="shared" si="11"/>
        <v>Mar-EMP0221</v>
      </c>
      <c r="K222" s="39">
        <f ca="1">EOMONTH('Raw Data'!E222,12*(YEAR(TODAY())-YEAR('Raw Data'!E222))+3)</f>
        <v>46418</v>
      </c>
      <c r="L222" s="17" t="str">
        <f ca="1">IF(AND('Raw Data'!H222&gt;=4,D222="Active",E222&lt;2),"Watch","")</f>
        <v/>
      </c>
      <c r="M222" s="69" t="str">
        <f>IFERROR(VLOOKUP($A222,'Raw Data'!$A$2:$C$50,3,FALSE()),"Not in first 49 rows")</f>
        <v>Not in first 49 rows</v>
      </c>
    </row>
    <row r="223" spans="1:13" x14ac:dyDescent="0.3">
      <c r="A223" s="68" t="str">
        <f>'Raw Data'!A223</f>
        <v>EMP0222</v>
      </c>
      <c r="B223" s="17" t="str">
        <f>INDEX('Raw Data'!$B$2:$B$301, MATCH(A223,'Raw Data'!$A$2:$A$301,0))</f>
        <v>Arjun Malhotra</v>
      </c>
      <c r="C223" s="17" t="str">
        <f>VLOOKUP($A223,'Raw Data'!$A$2:$C$301,3,FALSE)</f>
        <v>Marketing</v>
      </c>
      <c r="D223" s="17" t="str">
        <f>IF(ISBLANK('Raw Data'!F223),"Active","Resigned")</f>
        <v>Active</v>
      </c>
      <c r="E223" s="17">
        <f ca="1">DATEDIF('Raw Data'!E223,IF(ISBLANK('Raw Data'!F223),TODAY(),'Raw Data'!F223),"Y")</f>
        <v>9</v>
      </c>
      <c r="F223" s="17" t="str">
        <f>_xlfn.IFS('Raw Data'!D223&lt;30,"Under 30",'Raw Data'!D223&lt;=40,"30-40",'Raw Data'!D223&lt;=50,"41-50",TRUE(),"51+")</f>
        <v>41-50</v>
      </c>
      <c r="G223" s="38">
        <f>'Raw Data'!G223*12</f>
        <v>638400</v>
      </c>
      <c r="H223" s="17" t="str">
        <f t="shared" si="9"/>
        <v>High</v>
      </c>
      <c r="I223" s="17">
        <f t="shared" si="10"/>
        <v>56</v>
      </c>
      <c r="J223" s="17" t="str">
        <f t="shared" si="11"/>
        <v>Mar-EMP0222</v>
      </c>
      <c r="K223" s="39">
        <f ca="1">EOMONTH('Raw Data'!E223,12*(YEAR(TODAY())-YEAR('Raw Data'!E223))+3)</f>
        <v>46477</v>
      </c>
      <c r="L223" s="17" t="str">
        <f ca="1">IF(AND('Raw Data'!H223&gt;=4,D223="Active",E223&lt;2),"Watch","")</f>
        <v/>
      </c>
      <c r="M223" s="69" t="str">
        <f>IFERROR(VLOOKUP($A223,'Raw Data'!$A$2:$C$50,3,FALSE()),"Not in first 49 rows")</f>
        <v>Not in first 49 rows</v>
      </c>
    </row>
    <row r="224" spans="1:13" x14ac:dyDescent="0.3">
      <c r="A224" s="68" t="str">
        <f>'Raw Data'!A224</f>
        <v>EMP0223</v>
      </c>
      <c r="B224" s="17" t="str">
        <f>INDEX('Raw Data'!$B$2:$B$301, MATCH(A224,'Raw Data'!$A$2:$A$301,0))</f>
        <v>Sanjay Gupta</v>
      </c>
      <c r="C224" s="17" t="str">
        <f>VLOOKUP($A224,'Raw Data'!$A$2:$C$301,3,FALSE)</f>
        <v>IT</v>
      </c>
      <c r="D224" s="17" t="str">
        <f>IF(ISBLANK('Raw Data'!F224),"Active","Resigned")</f>
        <v>Active</v>
      </c>
      <c r="E224" s="17">
        <f ca="1">DATEDIF('Raw Data'!E224,IF(ISBLANK('Raw Data'!F224),TODAY(),'Raw Data'!F224),"Y")</f>
        <v>7</v>
      </c>
      <c r="F224" s="17" t="str">
        <f>_xlfn.IFS('Raw Data'!D224&lt;30,"Under 30",'Raw Data'!D224&lt;=40,"30-40",'Raw Data'!D224&lt;=50,"41-50",TRUE(),"51+")</f>
        <v>51+</v>
      </c>
      <c r="G224" s="38">
        <f>'Raw Data'!G224*12</f>
        <v>772800</v>
      </c>
      <c r="H224" s="17" t="str">
        <f t="shared" si="9"/>
        <v>Premium</v>
      </c>
      <c r="I224" s="17">
        <f t="shared" si="10"/>
        <v>9</v>
      </c>
      <c r="J224" s="17" t="str">
        <f t="shared" si="11"/>
        <v>IT-EMP0223</v>
      </c>
      <c r="K224" s="39">
        <f ca="1">EOMONTH('Raw Data'!E224,12*(YEAR(TODAY())-YEAR('Raw Data'!E224))+3)</f>
        <v>46234</v>
      </c>
      <c r="L224" s="17" t="str">
        <f ca="1">IF(AND('Raw Data'!H224&gt;=4,D224="Active",E224&lt;2),"Watch","")</f>
        <v/>
      </c>
      <c r="M224" s="69" t="str">
        <f>IFERROR(VLOOKUP($A224,'Raw Data'!$A$2:$C$50,3,FALSE()),"Not in first 49 rows")</f>
        <v>Not in first 49 rows</v>
      </c>
    </row>
    <row r="225" spans="1:13" x14ac:dyDescent="0.3">
      <c r="A225" s="68" t="str">
        <f>'Raw Data'!A225</f>
        <v>EMP0224</v>
      </c>
      <c r="B225" s="17" t="str">
        <f>INDEX('Raw Data'!$B$2:$B$301, MATCH(A225,'Raw Data'!$A$2:$A$301,0))</f>
        <v>Diya Joshi</v>
      </c>
      <c r="C225" s="17" t="str">
        <f>VLOOKUP($A225,'Raw Data'!$A$2:$C$301,3,FALSE)</f>
        <v>IT</v>
      </c>
      <c r="D225" s="17" t="str">
        <f>IF(ISBLANK('Raw Data'!F225),"Active","Resigned")</f>
        <v>Active</v>
      </c>
      <c r="E225" s="17">
        <f ca="1">DATEDIF('Raw Data'!E225,IF(ISBLANK('Raw Data'!F225),TODAY(),'Raw Data'!F225),"Y")</f>
        <v>9</v>
      </c>
      <c r="F225" s="17" t="str">
        <f>_xlfn.IFS('Raw Data'!D225&lt;30,"Under 30",'Raw Data'!D225&lt;=40,"30-40",'Raw Data'!D225&lt;=50,"41-50",TRUE(),"51+")</f>
        <v>30-40</v>
      </c>
      <c r="G225" s="38">
        <f>'Raw Data'!G225*12</f>
        <v>756000</v>
      </c>
      <c r="H225" s="17" t="str">
        <f t="shared" si="9"/>
        <v>Premium</v>
      </c>
      <c r="I225" s="17">
        <f t="shared" si="10"/>
        <v>16</v>
      </c>
      <c r="J225" s="17" t="str">
        <f t="shared" si="11"/>
        <v>IT-EMP0224</v>
      </c>
      <c r="K225" s="39">
        <f ca="1">EOMONTH('Raw Data'!E225,12*(YEAR(TODAY())-YEAR('Raw Data'!E225))+3)</f>
        <v>46265</v>
      </c>
      <c r="L225" s="17" t="str">
        <f ca="1">IF(AND('Raw Data'!H225&gt;=4,D225="Active",E225&lt;2),"Watch","")</f>
        <v/>
      </c>
      <c r="M225" s="69" t="str">
        <f>IFERROR(VLOOKUP($A225,'Raw Data'!$A$2:$C$50,3,FALSE()),"Not in first 49 rows")</f>
        <v>Not in first 49 rows</v>
      </c>
    </row>
    <row r="226" spans="1:13" x14ac:dyDescent="0.3">
      <c r="A226" s="68" t="str">
        <f>'Raw Data'!A226</f>
        <v>EMP0225</v>
      </c>
      <c r="B226" s="17" t="str">
        <f>INDEX('Raw Data'!$B$2:$B$301, MATCH(A226,'Raw Data'!$A$2:$A$301,0))</f>
        <v>Neha Sharma</v>
      </c>
      <c r="C226" s="17" t="str">
        <f>VLOOKUP($A226,'Raw Data'!$A$2:$C$301,3,FALSE)</f>
        <v>Finance</v>
      </c>
      <c r="D226" s="17" t="str">
        <f>IF(ISBLANK('Raw Data'!F226),"Active","Resigned")</f>
        <v>Active</v>
      </c>
      <c r="E226" s="17">
        <f ca="1">DATEDIF('Raw Data'!E226,IF(ISBLANK('Raw Data'!F226),TODAY(),'Raw Data'!F226),"Y")</f>
        <v>4</v>
      </c>
      <c r="F226" s="17" t="str">
        <f>_xlfn.IFS('Raw Data'!D226&lt;30,"Under 30",'Raw Data'!D226&lt;=40,"30-40",'Raw Data'!D226&lt;=50,"41-50",TRUE(),"51+")</f>
        <v>51+</v>
      </c>
      <c r="G226" s="38">
        <f>'Raw Data'!G226*12</f>
        <v>723600</v>
      </c>
      <c r="H226" s="17" t="str">
        <f t="shared" si="9"/>
        <v>Premium</v>
      </c>
      <c r="I226" s="17">
        <f t="shared" si="10"/>
        <v>22</v>
      </c>
      <c r="J226" s="17" t="str">
        <f t="shared" si="11"/>
        <v>Fin-EMP0225</v>
      </c>
      <c r="K226" s="39">
        <f ca="1">EOMONTH('Raw Data'!E226,12*(YEAR(TODAY())-YEAR('Raw Data'!E226))+3)</f>
        <v>46295</v>
      </c>
      <c r="L226" s="17" t="str">
        <f ca="1">IF(AND('Raw Data'!H226&gt;=4,D226="Active",E226&lt;2),"Watch","")</f>
        <v/>
      </c>
      <c r="M226" s="69" t="str">
        <f>IFERROR(VLOOKUP($A226,'Raw Data'!$A$2:$C$50,3,FALSE()),"Not in first 49 rows")</f>
        <v>Not in first 49 rows</v>
      </c>
    </row>
    <row r="227" spans="1:13" x14ac:dyDescent="0.3">
      <c r="A227" s="68" t="str">
        <f>'Raw Data'!A227</f>
        <v>EMP0226</v>
      </c>
      <c r="B227" s="17" t="str">
        <f>INDEX('Raw Data'!$B$2:$B$301, MATCH(A227,'Raw Data'!$A$2:$A$301,0))</f>
        <v>Anjali Gupta</v>
      </c>
      <c r="C227" s="17" t="str">
        <f>VLOOKUP($A227,'Raw Data'!$A$2:$C$301,3,FALSE)</f>
        <v>Sales</v>
      </c>
      <c r="D227" s="17" t="str">
        <f>IF(ISBLANK('Raw Data'!F227),"Active","Resigned")</f>
        <v>Active</v>
      </c>
      <c r="E227" s="17">
        <f ca="1">DATEDIF('Raw Data'!E227,IF(ISBLANK('Raw Data'!F227),TODAY(),'Raw Data'!F227),"Y")</f>
        <v>6</v>
      </c>
      <c r="F227" s="17" t="str">
        <f>_xlfn.IFS('Raw Data'!D227&lt;30,"Under 30",'Raw Data'!D227&lt;=40,"30-40",'Raw Data'!D227&lt;=50,"41-50",TRUE(),"51+")</f>
        <v>41-50</v>
      </c>
      <c r="G227" s="38">
        <f>'Raw Data'!G227*12</f>
        <v>543600</v>
      </c>
      <c r="H227" s="17" t="str">
        <f t="shared" si="9"/>
        <v>High</v>
      </c>
      <c r="I227" s="17">
        <f t="shared" si="10"/>
        <v>147</v>
      </c>
      <c r="J227" s="17" t="str">
        <f t="shared" si="11"/>
        <v>Sal-EMP0226</v>
      </c>
      <c r="K227" s="39">
        <f ca="1">EOMONTH('Raw Data'!E227,12*(YEAR(TODAY())-YEAR('Raw Data'!E227))+3)</f>
        <v>46295</v>
      </c>
      <c r="L227" s="17" t="str">
        <f ca="1">IF(AND('Raw Data'!H227&gt;=4,D227="Active",E227&lt;2),"Watch","")</f>
        <v/>
      </c>
      <c r="M227" s="69" t="str">
        <f>IFERROR(VLOOKUP($A227,'Raw Data'!$A$2:$C$50,3,FALSE()),"Not in first 49 rows")</f>
        <v>Not in first 49 rows</v>
      </c>
    </row>
    <row r="228" spans="1:13" x14ac:dyDescent="0.3">
      <c r="A228" s="68" t="str">
        <f>'Raw Data'!A228</f>
        <v>EMP0227</v>
      </c>
      <c r="B228" s="17" t="str">
        <f>INDEX('Raw Data'!$B$2:$B$301, MATCH(A228,'Raw Data'!$A$2:$A$301,0))</f>
        <v>Suresh Menon</v>
      </c>
      <c r="C228" s="17" t="str">
        <f>VLOOKUP($A228,'Raw Data'!$A$2:$C$301,3,FALSE)</f>
        <v>Sales</v>
      </c>
      <c r="D228" s="17" t="str">
        <f>IF(ISBLANK('Raw Data'!F228),"Active","Resigned")</f>
        <v>Active</v>
      </c>
      <c r="E228" s="17">
        <f ca="1">DATEDIF('Raw Data'!E228,IF(ISBLANK('Raw Data'!F228),TODAY(),'Raw Data'!F228),"Y")</f>
        <v>7</v>
      </c>
      <c r="F228" s="17" t="str">
        <f>_xlfn.IFS('Raw Data'!D228&lt;30,"Under 30",'Raw Data'!D228&lt;=40,"30-40",'Raw Data'!D228&lt;=50,"41-50",TRUE(),"51+")</f>
        <v>30-40</v>
      </c>
      <c r="G228" s="38">
        <f>'Raw Data'!G228*12</f>
        <v>465600</v>
      </c>
      <c r="H228" s="17" t="str">
        <f t="shared" si="9"/>
        <v>Mid</v>
      </c>
      <c r="I228" s="17">
        <f t="shared" si="10"/>
        <v>211</v>
      </c>
      <c r="J228" s="17" t="str">
        <f t="shared" si="11"/>
        <v>Sal-EMP0227</v>
      </c>
      <c r="K228" s="39">
        <f ca="1">EOMONTH('Raw Data'!E228,12*(YEAR(TODAY())-YEAR('Raw Data'!E228))+3)</f>
        <v>46326</v>
      </c>
      <c r="L228" s="17" t="str">
        <f ca="1">IF(AND('Raw Data'!H228&gt;=4,D228="Active",E228&lt;2),"Watch","")</f>
        <v/>
      </c>
      <c r="M228" s="69" t="str">
        <f>IFERROR(VLOOKUP($A228,'Raw Data'!$A$2:$C$50,3,FALSE()),"Not in first 49 rows")</f>
        <v>Not in first 49 rows</v>
      </c>
    </row>
    <row r="229" spans="1:13" x14ac:dyDescent="0.3">
      <c r="A229" s="68" t="str">
        <f>'Raw Data'!A229</f>
        <v>EMP0228</v>
      </c>
      <c r="B229" s="17" t="str">
        <f>INDEX('Raw Data'!$B$2:$B$301, MATCH(A229,'Raw Data'!$A$2:$A$301,0))</f>
        <v>Sanjay Singh</v>
      </c>
      <c r="C229" s="17" t="str">
        <f>VLOOKUP($A229,'Raw Data'!$A$2:$C$301,3,FALSE)</f>
        <v>IT</v>
      </c>
      <c r="D229" s="17" t="str">
        <f>IF(ISBLANK('Raw Data'!F229),"Active","Resigned")</f>
        <v>Active</v>
      </c>
      <c r="E229" s="17">
        <f ca="1">DATEDIF('Raw Data'!E229,IF(ISBLANK('Raw Data'!F229),TODAY(),'Raw Data'!F229),"Y")</f>
        <v>1</v>
      </c>
      <c r="F229" s="17" t="str">
        <f>_xlfn.IFS('Raw Data'!D229&lt;30,"Under 30",'Raw Data'!D229&lt;=40,"30-40",'Raw Data'!D229&lt;=50,"41-50",TRUE(),"51+")</f>
        <v>30-40</v>
      </c>
      <c r="G229" s="38">
        <f>'Raw Data'!G229*12</f>
        <v>652800</v>
      </c>
      <c r="H229" s="17" t="str">
        <f t="shared" si="9"/>
        <v>High</v>
      </c>
      <c r="I229" s="17">
        <f t="shared" si="10"/>
        <v>47</v>
      </c>
      <c r="J229" s="17" t="str">
        <f t="shared" si="11"/>
        <v>IT-EMP0228</v>
      </c>
      <c r="K229" s="39">
        <f ca="1">EOMONTH('Raw Data'!E229,12*(YEAR(TODAY())-YEAR('Raw Data'!E229))+3)</f>
        <v>46356</v>
      </c>
      <c r="L229" s="17" t="str">
        <f ca="1">IF(AND('Raw Data'!H229&gt;=4,D229="Active",E229&lt;2),"Watch","")</f>
        <v>Watch</v>
      </c>
      <c r="M229" s="69" t="str">
        <f>IFERROR(VLOOKUP($A229,'Raw Data'!$A$2:$C$50,3,FALSE()),"Not in first 49 rows")</f>
        <v>Not in first 49 rows</v>
      </c>
    </row>
    <row r="230" spans="1:13" x14ac:dyDescent="0.3">
      <c r="A230" s="68" t="str">
        <f>'Raw Data'!A230</f>
        <v>EMP0229</v>
      </c>
      <c r="B230" s="17" t="str">
        <f>INDEX('Raw Data'!$B$2:$B$301, MATCH(A230,'Raw Data'!$A$2:$A$301,0))</f>
        <v>Vihaan Kumar</v>
      </c>
      <c r="C230" s="17" t="str">
        <f>VLOOKUP($A230,'Raw Data'!$A$2:$C$301,3,FALSE)</f>
        <v>IT</v>
      </c>
      <c r="D230" s="17" t="str">
        <f>IF(ISBLANK('Raw Data'!F230),"Active","Resigned")</f>
        <v>Resigned</v>
      </c>
      <c r="E230" s="17">
        <f ca="1">DATEDIF('Raw Data'!E230,IF(ISBLANK('Raw Data'!F230),TODAY(),'Raw Data'!F230),"Y")</f>
        <v>3</v>
      </c>
      <c r="F230" s="17" t="str">
        <f>_xlfn.IFS('Raw Data'!D230&lt;30,"Under 30",'Raw Data'!D230&lt;=40,"30-40",'Raw Data'!D230&lt;=50,"41-50",TRUE(),"51+")</f>
        <v>30-40</v>
      </c>
      <c r="G230" s="38">
        <f>'Raw Data'!G230*12</f>
        <v>796800</v>
      </c>
      <c r="H230" s="17" t="str">
        <f t="shared" si="9"/>
        <v>Premium</v>
      </c>
      <c r="I230" s="17">
        <f t="shared" si="10"/>
        <v>3</v>
      </c>
      <c r="J230" s="17" t="str">
        <f t="shared" si="11"/>
        <v>IT-EMP0229</v>
      </c>
      <c r="K230" s="39">
        <f ca="1">EOMONTH('Raw Data'!E230,12*(YEAR(TODAY())-YEAR('Raw Data'!E230))+3)</f>
        <v>46265</v>
      </c>
      <c r="L230" s="17" t="str">
        <f ca="1">IF(AND('Raw Data'!H230&gt;=4,D230="Active",E230&lt;2),"Watch","")</f>
        <v/>
      </c>
      <c r="M230" s="69" t="str">
        <f>IFERROR(VLOOKUP($A230,'Raw Data'!$A$2:$C$50,3,FALSE()),"Not in first 49 rows")</f>
        <v>Not in first 49 rows</v>
      </c>
    </row>
    <row r="231" spans="1:13" x14ac:dyDescent="0.3">
      <c r="A231" s="68" t="str">
        <f>'Raw Data'!A231</f>
        <v>EMP0230</v>
      </c>
      <c r="B231" s="17" t="str">
        <f>INDEX('Raw Data'!$B$2:$B$301, MATCH(A231,'Raw Data'!$A$2:$A$301,0))</f>
        <v>Kavita Rao</v>
      </c>
      <c r="C231" s="17" t="str">
        <f>VLOOKUP($A231,'Raw Data'!$A$2:$C$301,3,FALSE)</f>
        <v>Sales</v>
      </c>
      <c r="D231" s="17" t="str">
        <f>IF(ISBLANK('Raw Data'!F231),"Active","Resigned")</f>
        <v>Active</v>
      </c>
      <c r="E231" s="17">
        <f ca="1">DATEDIF('Raw Data'!E231,IF(ISBLANK('Raw Data'!F231),TODAY(),'Raw Data'!F231),"Y")</f>
        <v>8</v>
      </c>
      <c r="F231" s="17" t="str">
        <f>_xlfn.IFS('Raw Data'!D231&lt;30,"Under 30",'Raw Data'!D231&lt;=40,"30-40",'Raw Data'!D231&lt;=50,"41-50",TRUE(),"51+")</f>
        <v>30-40</v>
      </c>
      <c r="G231" s="38">
        <f>'Raw Data'!G231*12</f>
        <v>494400</v>
      </c>
      <c r="H231" s="17" t="str">
        <f t="shared" si="9"/>
        <v>Mid</v>
      </c>
      <c r="I231" s="17">
        <f t="shared" si="10"/>
        <v>194</v>
      </c>
      <c r="J231" s="17" t="str">
        <f t="shared" si="11"/>
        <v>Sal-EMP0230</v>
      </c>
      <c r="K231" s="39">
        <f ca="1">EOMONTH('Raw Data'!E231,12*(YEAR(TODAY())-YEAR('Raw Data'!E231))+3)</f>
        <v>46203</v>
      </c>
      <c r="L231" s="17" t="str">
        <f ca="1">IF(AND('Raw Data'!H231&gt;=4,D231="Active",E231&lt;2),"Watch","")</f>
        <v/>
      </c>
      <c r="M231" s="69" t="str">
        <f>IFERROR(VLOOKUP($A231,'Raw Data'!$A$2:$C$50,3,FALSE()),"Not in first 49 rows")</f>
        <v>Not in first 49 rows</v>
      </c>
    </row>
    <row r="232" spans="1:13" x14ac:dyDescent="0.3">
      <c r="A232" s="68" t="str">
        <f>'Raw Data'!A232</f>
        <v>EMP0231</v>
      </c>
      <c r="B232" s="17" t="str">
        <f>INDEX('Raw Data'!$B$2:$B$301, MATCH(A232,'Raw Data'!$A$2:$A$301,0))</f>
        <v>Isha Agarwal</v>
      </c>
      <c r="C232" s="17" t="str">
        <f>VLOOKUP($A232,'Raw Data'!$A$2:$C$301,3,FALSE)</f>
        <v>IT</v>
      </c>
      <c r="D232" s="17" t="str">
        <f>IF(ISBLANK('Raw Data'!F232),"Active","Resigned")</f>
        <v>Active</v>
      </c>
      <c r="E232" s="17">
        <f ca="1">DATEDIF('Raw Data'!E232,IF(ISBLANK('Raw Data'!F232),TODAY(),'Raw Data'!F232),"Y")</f>
        <v>4</v>
      </c>
      <c r="F232" s="17" t="str">
        <f>_xlfn.IFS('Raw Data'!D232&lt;30,"Under 30",'Raw Data'!D232&lt;=40,"30-40",'Raw Data'!D232&lt;=50,"41-50",TRUE(),"51+")</f>
        <v>Under 30</v>
      </c>
      <c r="G232" s="38">
        <f>'Raw Data'!G232*12</f>
        <v>698400</v>
      </c>
      <c r="H232" s="17" t="str">
        <f t="shared" si="9"/>
        <v>Premium</v>
      </c>
      <c r="I232" s="17">
        <f t="shared" si="10"/>
        <v>28</v>
      </c>
      <c r="J232" s="17" t="str">
        <f t="shared" si="11"/>
        <v>IT-EMP0231</v>
      </c>
      <c r="K232" s="39">
        <f ca="1">EOMONTH('Raw Data'!E232,12*(YEAR(TODAY())-YEAR('Raw Data'!E232))+3)</f>
        <v>46356</v>
      </c>
      <c r="L232" s="17" t="str">
        <f ca="1">IF(AND('Raw Data'!H232&gt;=4,D232="Active",E232&lt;2),"Watch","")</f>
        <v/>
      </c>
      <c r="M232" s="69" t="str">
        <f>IFERROR(VLOOKUP($A232,'Raw Data'!$A$2:$C$50,3,FALSE()),"Not in first 49 rows")</f>
        <v>Not in first 49 rows</v>
      </c>
    </row>
    <row r="233" spans="1:13" x14ac:dyDescent="0.3">
      <c r="A233" s="68" t="str">
        <f>'Raw Data'!A233</f>
        <v>EMP0232</v>
      </c>
      <c r="B233" s="17" t="str">
        <f>INDEX('Raw Data'!$B$2:$B$301, MATCH(A233,'Raw Data'!$A$2:$A$301,0))</f>
        <v>Ananya Agarwal</v>
      </c>
      <c r="C233" s="17" t="str">
        <f>VLOOKUP($A233,'Raw Data'!$A$2:$C$301,3,FALSE)</f>
        <v>Operations</v>
      </c>
      <c r="D233" s="17" t="str">
        <f>IF(ISBLANK('Raw Data'!F233),"Active","Resigned")</f>
        <v>Resigned</v>
      </c>
      <c r="E233" s="17">
        <f ca="1">DATEDIF('Raw Data'!E233,IF(ISBLANK('Raw Data'!F233),TODAY(),'Raw Data'!F233),"Y")</f>
        <v>0</v>
      </c>
      <c r="F233" s="17" t="str">
        <f>_xlfn.IFS('Raw Data'!D233&lt;30,"Under 30",'Raw Data'!D233&lt;=40,"30-40",'Raw Data'!D233&lt;=50,"41-50",TRUE(),"51+")</f>
        <v>41-50</v>
      </c>
      <c r="G233" s="38">
        <f>'Raw Data'!G233*12</f>
        <v>370800</v>
      </c>
      <c r="H233" s="17" t="str">
        <f t="shared" si="9"/>
        <v>Low</v>
      </c>
      <c r="I233" s="17">
        <f t="shared" si="10"/>
        <v>282</v>
      </c>
      <c r="J233" s="17" t="str">
        <f t="shared" si="11"/>
        <v>Ope-EMP0232</v>
      </c>
      <c r="K233" s="39">
        <f ca="1">EOMONTH('Raw Data'!E233,12*(YEAR(TODAY())-YEAR('Raw Data'!E233))+3)</f>
        <v>46234</v>
      </c>
      <c r="L233" s="17" t="str">
        <f ca="1">IF(AND('Raw Data'!H233&gt;=4,D233="Active",E233&lt;2),"Watch","")</f>
        <v/>
      </c>
      <c r="M233" s="69" t="str">
        <f>IFERROR(VLOOKUP($A233,'Raw Data'!$A$2:$C$50,3,FALSE()),"Not in first 49 rows")</f>
        <v>Not in first 49 rows</v>
      </c>
    </row>
    <row r="234" spans="1:13" x14ac:dyDescent="0.3">
      <c r="A234" s="68" t="str">
        <f>'Raw Data'!A234</f>
        <v>EMP0233</v>
      </c>
      <c r="B234" s="17" t="str">
        <f>INDEX('Raw Data'!$B$2:$B$301, MATCH(A234,'Raw Data'!$A$2:$A$301,0))</f>
        <v>Divya Iyer</v>
      </c>
      <c r="C234" s="17" t="str">
        <f>VLOOKUP($A234,'Raw Data'!$A$2:$C$301,3,FALSE)</f>
        <v>Operations</v>
      </c>
      <c r="D234" s="17" t="str">
        <f>IF(ISBLANK('Raw Data'!F234),"Active","Resigned")</f>
        <v>Active</v>
      </c>
      <c r="E234" s="17">
        <f ca="1">DATEDIF('Raw Data'!E234,IF(ISBLANK('Raw Data'!F234),TODAY(),'Raw Data'!F234),"Y")</f>
        <v>1</v>
      </c>
      <c r="F234" s="17" t="str">
        <f>_xlfn.IFS('Raw Data'!D234&lt;30,"Under 30",'Raw Data'!D234&lt;=40,"30-40",'Raw Data'!D234&lt;=50,"41-50",TRUE(),"51+")</f>
        <v>30-40</v>
      </c>
      <c r="G234" s="38">
        <f>'Raw Data'!G234*12</f>
        <v>525600</v>
      </c>
      <c r="H234" s="17" t="str">
        <f t="shared" si="9"/>
        <v>Mid</v>
      </c>
      <c r="I234" s="17">
        <f t="shared" si="10"/>
        <v>170</v>
      </c>
      <c r="J234" s="17" t="str">
        <f t="shared" si="11"/>
        <v>Ope-EMP0233</v>
      </c>
      <c r="K234" s="39">
        <f ca="1">EOMONTH('Raw Data'!E234,12*(YEAR(TODAY())-YEAR('Raw Data'!E234))+3)</f>
        <v>46356</v>
      </c>
      <c r="L234" s="17" t="str">
        <f ca="1">IF(AND('Raw Data'!H234&gt;=4,D234="Active",E234&lt;2),"Watch","")</f>
        <v/>
      </c>
      <c r="M234" s="69" t="str">
        <f>IFERROR(VLOOKUP($A234,'Raw Data'!$A$2:$C$50,3,FALSE()),"Not in first 49 rows")</f>
        <v>Not in first 49 rows</v>
      </c>
    </row>
    <row r="235" spans="1:13" x14ac:dyDescent="0.3">
      <c r="A235" s="68" t="str">
        <f>'Raw Data'!A235</f>
        <v>EMP0234</v>
      </c>
      <c r="B235" s="17" t="str">
        <f>INDEX('Raw Data'!$B$2:$B$301, MATCH(A235,'Raw Data'!$A$2:$A$301,0))</f>
        <v>Sunita Rao</v>
      </c>
      <c r="C235" s="17" t="str">
        <f>VLOOKUP($A235,'Raw Data'!$A$2:$C$301,3,FALSE)</f>
        <v>Operations</v>
      </c>
      <c r="D235" s="17" t="str">
        <f>IF(ISBLANK('Raw Data'!F235),"Active","Resigned")</f>
        <v>Resigned</v>
      </c>
      <c r="E235" s="17">
        <f ca="1">DATEDIF('Raw Data'!E235,IF(ISBLANK('Raw Data'!F235),TODAY(),'Raw Data'!F235),"Y")</f>
        <v>4</v>
      </c>
      <c r="F235" s="17" t="str">
        <f>_xlfn.IFS('Raw Data'!D235&lt;30,"Under 30",'Raw Data'!D235&lt;=40,"30-40",'Raw Data'!D235&lt;=50,"41-50",TRUE(),"51+")</f>
        <v>41-50</v>
      </c>
      <c r="G235" s="38">
        <f>'Raw Data'!G235*12</f>
        <v>544800</v>
      </c>
      <c r="H235" s="17" t="str">
        <f t="shared" si="9"/>
        <v>High</v>
      </c>
      <c r="I235" s="17">
        <f t="shared" si="10"/>
        <v>142</v>
      </c>
      <c r="J235" s="17" t="str">
        <f t="shared" si="11"/>
        <v>Ope-EMP0234</v>
      </c>
      <c r="K235" s="39">
        <f ca="1">EOMONTH('Raw Data'!E235,12*(YEAR(TODAY())-YEAR('Raw Data'!E235))+3)</f>
        <v>46295</v>
      </c>
      <c r="L235" s="17" t="str">
        <f ca="1">IF(AND('Raw Data'!H235&gt;=4,D235="Active",E235&lt;2),"Watch","")</f>
        <v/>
      </c>
      <c r="M235" s="69" t="str">
        <f>IFERROR(VLOOKUP($A235,'Raw Data'!$A$2:$C$50,3,FALSE()),"Not in first 49 rows")</f>
        <v>Not in first 49 rows</v>
      </c>
    </row>
    <row r="236" spans="1:13" x14ac:dyDescent="0.3">
      <c r="A236" s="68" t="str">
        <f>'Raw Data'!A236</f>
        <v>EMP0235</v>
      </c>
      <c r="B236" s="17" t="str">
        <f>INDEX('Raw Data'!$B$2:$B$301, MATCH(A236,'Raw Data'!$A$2:$A$301,0))</f>
        <v>Arjun Verma</v>
      </c>
      <c r="C236" s="17" t="str">
        <f>VLOOKUP($A236,'Raw Data'!$A$2:$C$301,3,FALSE)</f>
        <v>Marketing</v>
      </c>
      <c r="D236" s="17" t="str">
        <f>IF(ISBLANK('Raw Data'!F236),"Active","Resigned")</f>
        <v>Active</v>
      </c>
      <c r="E236" s="17">
        <f ca="1">DATEDIF('Raw Data'!E236,IF(ISBLANK('Raw Data'!F236),TODAY(),'Raw Data'!F236),"Y")</f>
        <v>5</v>
      </c>
      <c r="F236" s="17" t="str">
        <f>_xlfn.IFS('Raw Data'!D236&lt;30,"Under 30",'Raw Data'!D236&lt;=40,"30-40",'Raw Data'!D236&lt;=50,"41-50",TRUE(),"51+")</f>
        <v>41-50</v>
      </c>
      <c r="G236" s="38">
        <f>'Raw Data'!G236*12</f>
        <v>418800</v>
      </c>
      <c r="H236" s="17" t="str">
        <f t="shared" si="9"/>
        <v>Low</v>
      </c>
      <c r="I236" s="17">
        <f t="shared" si="10"/>
        <v>253</v>
      </c>
      <c r="J236" s="17" t="str">
        <f t="shared" si="11"/>
        <v>Mar-EMP0235</v>
      </c>
      <c r="K236" s="39">
        <f ca="1">EOMONTH('Raw Data'!E236,12*(YEAR(TODAY())-YEAR('Raw Data'!E236))+3)</f>
        <v>46356</v>
      </c>
      <c r="L236" s="17" t="str">
        <f ca="1">IF(AND('Raw Data'!H236&gt;=4,D236="Active",E236&lt;2),"Watch","")</f>
        <v/>
      </c>
      <c r="M236" s="69" t="str">
        <f>IFERROR(VLOOKUP($A236,'Raw Data'!$A$2:$C$50,3,FALSE()),"Not in first 49 rows")</f>
        <v>Not in first 49 rows</v>
      </c>
    </row>
    <row r="237" spans="1:13" x14ac:dyDescent="0.3">
      <c r="A237" s="68" t="str">
        <f>'Raw Data'!A237</f>
        <v>EMP0236</v>
      </c>
      <c r="B237" s="17" t="str">
        <f>INDEX('Raw Data'!$B$2:$B$301, MATCH(A237,'Raw Data'!$A$2:$A$301,0))</f>
        <v>Rahul Mehta</v>
      </c>
      <c r="C237" s="17" t="str">
        <f>VLOOKUP($A237,'Raw Data'!$A$2:$C$301,3,FALSE)</f>
        <v>Operations</v>
      </c>
      <c r="D237" s="17" t="str">
        <f>IF(ISBLANK('Raw Data'!F237),"Active","Resigned")</f>
        <v>Resigned</v>
      </c>
      <c r="E237" s="17">
        <f ca="1">DATEDIF('Raw Data'!E237,IF(ISBLANK('Raw Data'!F237),TODAY(),'Raw Data'!F237),"Y")</f>
        <v>4</v>
      </c>
      <c r="F237" s="17" t="str">
        <f>_xlfn.IFS('Raw Data'!D237&lt;30,"Under 30",'Raw Data'!D237&lt;=40,"30-40",'Raw Data'!D237&lt;=50,"41-50",TRUE(),"51+")</f>
        <v>41-50</v>
      </c>
      <c r="G237" s="38">
        <f>'Raw Data'!G237*12</f>
        <v>496800</v>
      </c>
      <c r="H237" s="17" t="str">
        <f t="shared" si="9"/>
        <v>Mid</v>
      </c>
      <c r="I237" s="17">
        <f t="shared" si="10"/>
        <v>190</v>
      </c>
      <c r="J237" s="17" t="str">
        <f t="shared" si="11"/>
        <v>Ope-EMP0236</v>
      </c>
      <c r="K237" s="39">
        <f ca="1">EOMONTH('Raw Data'!E237,12*(YEAR(TODAY())-YEAR('Raw Data'!E237))+3)</f>
        <v>46295</v>
      </c>
      <c r="L237" s="17" t="str">
        <f ca="1">IF(AND('Raw Data'!H237&gt;=4,D237="Active",E237&lt;2),"Watch","")</f>
        <v/>
      </c>
      <c r="M237" s="69" t="str">
        <f>IFERROR(VLOOKUP($A237,'Raw Data'!$A$2:$C$50,3,FALSE()),"Not in first 49 rows")</f>
        <v>Not in first 49 rows</v>
      </c>
    </row>
    <row r="238" spans="1:13" x14ac:dyDescent="0.3">
      <c r="A238" s="68" t="str">
        <f>'Raw Data'!A238</f>
        <v>EMP0237</v>
      </c>
      <c r="B238" s="17" t="str">
        <f>INDEX('Raw Data'!$B$2:$B$301, MATCH(A238,'Raw Data'!$A$2:$A$301,0))</f>
        <v>Sara Malhotra</v>
      </c>
      <c r="C238" s="17" t="str">
        <f>VLOOKUP($A238,'Raw Data'!$A$2:$C$301,3,FALSE)</f>
        <v>Sales</v>
      </c>
      <c r="D238" s="17" t="str">
        <f>IF(ISBLANK('Raw Data'!F238),"Active","Resigned")</f>
        <v>Resigned</v>
      </c>
      <c r="E238" s="17">
        <f ca="1">DATEDIF('Raw Data'!E238,IF(ISBLANK('Raw Data'!F238),TODAY(),'Raw Data'!F238),"Y")</f>
        <v>0</v>
      </c>
      <c r="F238" s="17" t="str">
        <f>_xlfn.IFS('Raw Data'!D238&lt;30,"Under 30",'Raw Data'!D238&lt;=40,"30-40",'Raw Data'!D238&lt;=50,"41-50",TRUE(),"51+")</f>
        <v>30-40</v>
      </c>
      <c r="G238" s="38">
        <f>'Raw Data'!G238*12</f>
        <v>350400</v>
      </c>
      <c r="H238" s="17" t="str">
        <f t="shared" si="9"/>
        <v>Low</v>
      </c>
      <c r="I238" s="17">
        <f t="shared" si="10"/>
        <v>293</v>
      </c>
      <c r="J238" s="17" t="str">
        <f t="shared" si="11"/>
        <v>Sal-EMP0237</v>
      </c>
      <c r="K238" s="39">
        <f ca="1">EOMONTH('Raw Data'!E238,12*(YEAR(TODAY())-YEAR('Raw Data'!E238))+3)</f>
        <v>46142</v>
      </c>
      <c r="L238" s="17" t="str">
        <f ca="1">IF(AND('Raw Data'!H238&gt;=4,D238="Active",E238&lt;2),"Watch","")</f>
        <v/>
      </c>
      <c r="M238" s="69" t="str">
        <f>IFERROR(VLOOKUP($A238,'Raw Data'!$A$2:$C$50,3,FALSE()),"Not in first 49 rows")</f>
        <v>Not in first 49 rows</v>
      </c>
    </row>
    <row r="239" spans="1:13" x14ac:dyDescent="0.3">
      <c r="A239" s="68" t="str">
        <f>'Raw Data'!A239</f>
        <v>EMP0238</v>
      </c>
      <c r="B239" s="17" t="str">
        <f>INDEX('Raw Data'!$B$2:$B$301, MATCH(A239,'Raw Data'!$A$2:$A$301,0))</f>
        <v>Anjali Kapoor</v>
      </c>
      <c r="C239" s="17" t="str">
        <f>VLOOKUP($A239,'Raw Data'!$A$2:$C$301,3,FALSE)</f>
        <v>Marketing</v>
      </c>
      <c r="D239" s="17" t="str">
        <f>IF(ISBLANK('Raw Data'!F239),"Active","Resigned")</f>
        <v>Active</v>
      </c>
      <c r="E239" s="17">
        <f ca="1">DATEDIF('Raw Data'!E239,IF(ISBLANK('Raw Data'!F239),TODAY(),'Raw Data'!F239),"Y")</f>
        <v>1</v>
      </c>
      <c r="F239" s="17" t="str">
        <f>_xlfn.IFS('Raw Data'!D239&lt;30,"Under 30",'Raw Data'!D239&lt;=40,"30-40",'Raw Data'!D239&lt;=50,"41-50",TRUE(),"51+")</f>
        <v>30-40</v>
      </c>
      <c r="G239" s="38">
        <f>'Raw Data'!G239*12</f>
        <v>526800</v>
      </c>
      <c r="H239" s="17" t="str">
        <f t="shared" si="9"/>
        <v>Mid</v>
      </c>
      <c r="I239" s="17">
        <f t="shared" si="10"/>
        <v>167</v>
      </c>
      <c r="J239" s="17" t="str">
        <f t="shared" si="11"/>
        <v>Mar-EMP0238</v>
      </c>
      <c r="K239" s="39">
        <f ca="1">EOMONTH('Raw Data'!E239,12*(YEAR(TODAY())-YEAR('Raw Data'!E239))+3)</f>
        <v>46173</v>
      </c>
      <c r="L239" s="17" t="str">
        <f ca="1">IF(AND('Raw Data'!H239&gt;=4,D239="Active",E239&lt;2),"Watch","")</f>
        <v/>
      </c>
      <c r="M239" s="69" t="str">
        <f>IFERROR(VLOOKUP($A239,'Raw Data'!$A$2:$C$50,3,FALSE()),"Not in first 49 rows")</f>
        <v>Not in first 49 rows</v>
      </c>
    </row>
    <row r="240" spans="1:13" x14ac:dyDescent="0.3">
      <c r="A240" s="68" t="str">
        <f>'Raw Data'!A240</f>
        <v>EMP0239</v>
      </c>
      <c r="B240" s="17" t="str">
        <f>INDEX('Raw Data'!$B$2:$B$301, MATCH(A240,'Raw Data'!$A$2:$A$301,0))</f>
        <v>Ananya Chopra</v>
      </c>
      <c r="C240" s="17" t="str">
        <f>VLOOKUP($A240,'Raw Data'!$A$2:$C$301,3,FALSE)</f>
        <v>IT</v>
      </c>
      <c r="D240" s="17" t="str">
        <f>IF(ISBLANK('Raw Data'!F240),"Active","Resigned")</f>
        <v>Active</v>
      </c>
      <c r="E240" s="17">
        <f ca="1">DATEDIF('Raw Data'!E240,IF(ISBLANK('Raw Data'!F240),TODAY(),'Raw Data'!F240),"Y")</f>
        <v>4</v>
      </c>
      <c r="F240" s="17" t="str">
        <f>_xlfn.IFS('Raw Data'!D240&lt;30,"Under 30",'Raw Data'!D240&lt;=40,"30-40",'Raw Data'!D240&lt;=50,"41-50",TRUE(),"51+")</f>
        <v>51+</v>
      </c>
      <c r="G240" s="38">
        <f>'Raw Data'!G240*12</f>
        <v>670800</v>
      </c>
      <c r="H240" s="17" t="str">
        <f t="shared" si="9"/>
        <v>Premium</v>
      </c>
      <c r="I240" s="17">
        <f t="shared" si="10"/>
        <v>40</v>
      </c>
      <c r="J240" s="17" t="str">
        <f t="shared" si="11"/>
        <v>IT-EMP0239</v>
      </c>
      <c r="K240" s="39">
        <f ca="1">EOMONTH('Raw Data'!E240,12*(YEAR(TODAY())-YEAR('Raw Data'!E240))+3)</f>
        <v>46356</v>
      </c>
      <c r="L240" s="17" t="str">
        <f ca="1">IF(AND('Raw Data'!H240&gt;=4,D240="Active",E240&lt;2),"Watch","")</f>
        <v/>
      </c>
      <c r="M240" s="69" t="str">
        <f>IFERROR(VLOOKUP($A240,'Raw Data'!$A$2:$C$50,3,FALSE()),"Not in first 49 rows")</f>
        <v>Not in first 49 rows</v>
      </c>
    </row>
    <row r="241" spans="1:13" x14ac:dyDescent="0.3">
      <c r="A241" s="68" t="str">
        <f>'Raw Data'!A241</f>
        <v>EMP0240</v>
      </c>
      <c r="B241" s="17" t="str">
        <f>INDEX('Raw Data'!$B$2:$B$301, MATCH(A241,'Raw Data'!$A$2:$A$301,0))</f>
        <v>Manoj Bhat</v>
      </c>
      <c r="C241" s="17" t="str">
        <f>VLOOKUP($A241,'Raw Data'!$A$2:$C$301,3,FALSE)</f>
        <v>HR</v>
      </c>
      <c r="D241" s="17" t="str">
        <f>IF(ISBLANK('Raw Data'!F241),"Active","Resigned")</f>
        <v>Active</v>
      </c>
      <c r="E241" s="17">
        <f ca="1">DATEDIF('Raw Data'!E241,IF(ISBLANK('Raw Data'!F241),TODAY(),'Raw Data'!F241),"Y")</f>
        <v>8</v>
      </c>
      <c r="F241" s="17" t="str">
        <f>_xlfn.IFS('Raw Data'!D241&lt;30,"Under 30",'Raw Data'!D241&lt;=40,"30-40",'Raw Data'!D241&lt;=50,"41-50",TRUE(),"51+")</f>
        <v>30-40</v>
      </c>
      <c r="G241" s="38">
        <f>'Raw Data'!G241*12</f>
        <v>326400</v>
      </c>
      <c r="H241" s="17" t="str">
        <f t="shared" si="9"/>
        <v>Low</v>
      </c>
      <c r="I241" s="17">
        <f t="shared" si="10"/>
        <v>299</v>
      </c>
      <c r="J241" s="17" t="str">
        <f t="shared" si="11"/>
        <v>HR-EMP0240</v>
      </c>
      <c r="K241" s="39">
        <f ca="1">EOMONTH('Raw Data'!E241,12*(YEAR(TODAY())-YEAR('Raw Data'!E241))+3)</f>
        <v>46265</v>
      </c>
      <c r="L241" s="17" t="str">
        <f ca="1">IF(AND('Raw Data'!H241&gt;=4,D241="Active",E241&lt;2),"Watch","")</f>
        <v/>
      </c>
      <c r="M241" s="69" t="str">
        <f>IFERROR(VLOOKUP($A241,'Raw Data'!$A$2:$C$50,3,FALSE()),"Not in first 49 rows")</f>
        <v>Not in first 49 rows</v>
      </c>
    </row>
    <row r="242" spans="1:13" x14ac:dyDescent="0.3">
      <c r="A242" s="68" t="str">
        <f>'Raw Data'!A242</f>
        <v>EMP0241</v>
      </c>
      <c r="B242" s="17" t="str">
        <f>INDEX('Raw Data'!$B$2:$B$301, MATCH(A242,'Raw Data'!$A$2:$A$301,0))</f>
        <v>Swati Chopra</v>
      </c>
      <c r="C242" s="17" t="str">
        <f>VLOOKUP($A242,'Raw Data'!$A$2:$C$301,3,FALSE)</f>
        <v>Finance</v>
      </c>
      <c r="D242" s="17" t="str">
        <f>IF(ISBLANK('Raw Data'!F242),"Active","Resigned")</f>
        <v>Active</v>
      </c>
      <c r="E242" s="17">
        <f ca="1">DATEDIF('Raw Data'!E242,IF(ISBLANK('Raw Data'!F242),TODAY(),'Raw Data'!F242),"Y")</f>
        <v>10</v>
      </c>
      <c r="F242" s="17" t="str">
        <f>_xlfn.IFS('Raw Data'!D242&lt;30,"Under 30",'Raw Data'!D242&lt;=40,"30-40",'Raw Data'!D242&lt;=50,"41-50",TRUE(),"51+")</f>
        <v>51+</v>
      </c>
      <c r="G242" s="38">
        <f>'Raw Data'!G242*12</f>
        <v>615600</v>
      </c>
      <c r="H242" s="17" t="str">
        <f t="shared" si="9"/>
        <v>High</v>
      </c>
      <c r="I242" s="17">
        <f t="shared" si="10"/>
        <v>75</v>
      </c>
      <c r="J242" s="17" t="str">
        <f t="shared" si="11"/>
        <v>Fin-EMP0241</v>
      </c>
      <c r="K242" s="39">
        <f ca="1">EOMONTH('Raw Data'!E242,12*(YEAR(TODAY())-YEAR('Raw Data'!E242))+3)</f>
        <v>46173</v>
      </c>
      <c r="L242" s="17" t="str">
        <f ca="1">IF(AND('Raw Data'!H242&gt;=4,D242="Active",E242&lt;2),"Watch","")</f>
        <v/>
      </c>
      <c r="M242" s="69" t="str">
        <f>IFERROR(VLOOKUP($A242,'Raw Data'!$A$2:$C$50,3,FALSE()),"Not in first 49 rows")</f>
        <v>Not in first 49 rows</v>
      </c>
    </row>
    <row r="243" spans="1:13" x14ac:dyDescent="0.3">
      <c r="A243" s="68" t="str">
        <f>'Raw Data'!A243</f>
        <v>EMP0242</v>
      </c>
      <c r="B243" s="17" t="str">
        <f>INDEX('Raw Data'!$B$2:$B$301, MATCH(A243,'Raw Data'!$A$2:$A$301,0))</f>
        <v>Vikram Desai</v>
      </c>
      <c r="C243" s="17" t="str">
        <f>VLOOKUP($A243,'Raw Data'!$A$2:$C$301,3,FALSE)</f>
        <v>Finance</v>
      </c>
      <c r="D243" s="17" t="str">
        <f>IF(ISBLANK('Raw Data'!F243),"Active","Resigned")</f>
        <v>Resigned</v>
      </c>
      <c r="E243" s="17">
        <f ca="1">DATEDIF('Raw Data'!E243,IF(ISBLANK('Raw Data'!F243),TODAY(),'Raw Data'!F243),"Y")</f>
        <v>2</v>
      </c>
      <c r="F243" s="17" t="str">
        <f>_xlfn.IFS('Raw Data'!D243&lt;30,"Under 30",'Raw Data'!D243&lt;=40,"30-40",'Raw Data'!D243&lt;=50,"41-50",TRUE(),"51+")</f>
        <v>Under 30</v>
      </c>
      <c r="G243" s="38">
        <f>'Raw Data'!G243*12</f>
        <v>596400</v>
      </c>
      <c r="H243" s="17" t="str">
        <f t="shared" si="9"/>
        <v>High</v>
      </c>
      <c r="I243" s="17">
        <f t="shared" si="10"/>
        <v>95</v>
      </c>
      <c r="J243" s="17" t="str">
        <f t="shared" si="11"/>
        <v>Fin-EMP0242</v>
      </c>
      <c r="K243" s="39">
        <f ca="1">EOMONTH('Raw Data'!E243,12*(YEAR(TODAY())-YEAR('Raw Data'!E243))+3)</f>
        <v>46295</v>
      </c>
      <c r="L243" s="17" t="str">
        <f ca="1">IF(AND('Raw Data'!H243&gt;=4,D243="Active",E243&lt;2),"Watch","")</f>
        <v/>
      </c>
      <c r="M243" s="69" t="str">
        <f>IFERROR(VLOOKUP($A243,'Raw Data'!$A$2:$C$50,3,FALSE()),"Not in first 49 rows")</f>
        <v>Not in first 49 rows</v>
      </c>
    </row>
    <row r="244" spans="1:13" x14ac:dyDescent="0.3">
      <c r="A244" s="68" t="str">
        <f>'Raw Data'!A244</f>
        <v>EMP0243</v>
      </c>
      <c r="B244" s="17" t="str">
        <f>INDEX('Raw Data'!$B$2:$B$301, MATCH(A244,'Raw Data'!$A$2:$A$301,0))</f>
        <v>Nikhil Bhat</v>
      </c>
      <c r="C244" s="17" t="str">
        <f>VLOOKUP($A244,'Raw Data'!$A$2:$C$301,3,FALSE)</f>
        <v>HR</v>
      </c>
      <c r="D244" s="17" t="str">
        <f>IF(ISBLANK('Raw Data'!F244),"Active","Resigned")</f>
        <v>Active</v>
      </c>
      <c r="E244" s="17">
        <f ca="1">DATEDIF('Raw Data'!E244,IF(ISBLANK('Raw Data'!F244),TODAY(),'Raw Data'!F244),"Y")</f>
        <v>7</v>
      </c>
      <c r="F244" s="17" t="str">
        <f>_xlfn.IFS('Raw Data'!D244&lt;30,"Under 30",'Raw Data'!D244&lt;=40,"30-40",'Raw Data'!D244&lt;=50,"41-50",TRUE(),"51+")</f>
        <v>51+</v>
      </c>
      <c r="G244" s="38">
        <f>'Raw Data'!G244*12</f>
        <v>492000</v>
      </c>
      <c r="H244" s="17" t="str">
        <f t="shared" si="9"/>
        <v>Mid</v>
      </c>
      <c r="I244" s="17">
        <f t="shared" si="10"/>
        <v>197</v>
      </c>
      <c r="J244" s="17" t="str">
        <f t="shared" si="11"/>
        <v>HR-EMP0243</v>
      </c>
      <c r="K244" s="39">
        <f ca="1">EOMONTH('Raw Data'!E244,12*(YEAR(TODAY())-YEAR('Raw Data'!E244))+3)</f>
        <v>46173</v>
      </c>
      <c r="L244" s="17" t="str">
        <f ca="1">IF(AND('Raw Data'!H244&gt;=4,D244="Active",E244&lt;2),"Watch","")</f>
        <v/>
      </c>
      <c r="M244" s="69" t="str">
        <f>IFERROR(VLOOKUP($A244,'Raw Data'!$A$2:$C$50,3,FALSE()),"Not in first 49 rows")</f>
        <v>Not in first 49 rows</v>
      </c>
    </row>
    <row r="245" spans="1:13" x14ac:dyDescent="0.3">
      <c r="A245" s="68" t="str">
        <f>'Raw Data'!A245</f>
        <v>EMP0244</v>
      </c>
      <c r="B245" s="17" t="str">
        <f>INDEX('Raw Data'!$B$2:$B$301, MATCH(A245,'Raw Data'!$A$2:$A$301,0))</f>
        <v>Rohan Kumar</v>
      </c>
      <c r="C245" s="17" t="str">
        <f>VLOOKUP($A245,'Raw Data'!$A$2:$C$301,3,FALSE)</f>
        <v>HR</v>
      </c>
      <c r="D245" s="17" t="str">
        <f>IF(ISBLANK('Raw Data'!F245),"Active","Resigned")</f>
        <v>Active</v>
      </c>
      <c r="E245" s="17">
        <f ca="1">DATEDIF('Raw Data'!E245,IF(ISBLANK('Raw Data'!F245),TODAY(),'Raw Data'!F245),"Y")</f>
        <v>1</v>
      </c>
      <c r="F245" s="17" t="str">
        <f>_xlfn.IFS('Raw Data'!D245&lt;30,"Under 30",'Raw Data'!D245&lt;=40,"30-40",'Raw Data'!D245&lt;=50,"41-50",TRUE(),"51+")</f>
        <v>41-50</v>
      </c>
      <c r="G245" s="38">
        <f>'Raw Data'!G245*12</f>
        <v>472800</v>
      </c>
      <c r="H245" s="17" t="str">
        <f t="shared" si="9"/>
        <v>Mid</v>
      </c>
      <c r="I245" s="17">
        <f t="shared" si="10"/>
        <v>208</v>
      </c>
      <c r="J245" s="17" t="str">
        <f t="shared" si="11"/>
        <v>HR-EMP0244</v>
      </c>
      <c r="K245" s="39">
        <f ca="1">EOMONTH('Raw Data'!E245,12*(YEAR(TODAY())-YEAR('Raw Data'!E245))+3)</f>
        <v>46446</v>
      </c>
      <c r="L245" s="17" t="str">
        <f ca="1">IF(AND('Raw Data'!H245&gt;=4,D245="Active",E245&lt;2),"Watch","")</f>
        <v/>
      </c>
      <c r="M245" s="69" t="str">
        <f>IFERROR(VLOOKUP($A245,'Raw Data'!$A$2:$C$50,3,FALSE()),"Not in first 49 rows")</f>
        <v>Not in first 49 rows</v>
      </c>
    </row>
    <row r="246" spans="1:13" x14ac:dyDescent="0.3">
      <c r="A246" s="68" t="str">
        <f>'Raw Data'!A246</f>
        <v>EMP0245</v>
      </c>
      <c r="B246" s="17" t="str">
        <f>INDEX('Raw Data'!$B$2:$B$301, MATCH(A246,'Raw Data'!$A$2:$A$301,0))</f>
        <v>Karan Reddy</v>
      </c>
      <c r="C246" s="17" t="str">
        <f>VLOOKUP($A246,'Raw Data'!$A$2:$C$301,3,FALSE)</f>
        <v>IT</v>
      </c>
      <c r="D246" s="17" t="str">
        <f>IF(ISBLANK('Raw Data'!F246),"Active","Resigned")</f>
        <v>Active</v>
      </c>
      <c r="E246" s="17">
        <f ca="1">DATEDIF('Raw Data'!E246,IF(ISBLANK('Raw Data'!F246),TODAY(),'Raw Data'!F246),"Y")</f>
        <v>6</v>
      </c>
      <c r="F246" s="17" t="str">
        <f>_xlfn.IFS('Raw Data'!D246&lt;30,"Under 30",'Raw Data'!D246&lt;=40,"30-40",'Raw Data'!D246&lt;=50,"41-50",TRUE(),"51+")</f>
        <v>51+</v>
      </c>
      <c r="G246" s="38">
        <f>'Raw Data'!G246*12</f>
        <v>541200</v>
      </c>
      <c r="H246" s="17" t="str">
        <f t="shared" si="9"/>
        <v>High</v>
      </c>
      <c r="I246" s="17">
        <f t="shared" si="10"/>
        <v>150</v>
      </c>
      <c r="J246" s="17" t="str">
        <f t="shared" si="11"/>
        <v>IT-EMP0245</v>
      </c>
      <c r="K246" s="39">
        <f ca="1">EOMONTH('Raw Data'!E246,12*(YEAR(TODAY())-YEAR('Raw Data'!E246))+3)</f>
        <v>46326</v>
      </c>
      <c r="L246" s="17" t="str">
        <f ca="1">IF(AND('Raw Data'!H246&gt;=4,D246="Active",E246&lt;2),"Watch","")</f>
        <v/>
      </c>
      <c r="M246" s="69" t="str">
        <f>IFERROR(VLOOKUP($A246,'Raw Data'!$A$2:$C$50,3,FALSE()),"Not in first 49 rows")</f>
        <v>Not in first 49 rows</v>
      </c>
    </row>
    <row r="247" spans="1:13" x14ac:dyDescent="0.3">
      <c r="A247" s="68" t="str">
        <f>'Raw Data'!A247</f>
        <v>EMP0246</v>
      </c>
      <c r="B247" s="17" t="str">
        <f>INDEX('Raw Data'!$B$2:$B$301, MATCH(A247,'Raw Data'!$A$2:$A$301,0))</f>
        <v>Amit Chopra</v>
      </c>
      <c r="C247" s="17" t="str">
        <f>VLOOKUP($A247,'Raw Data'!$A$2:$C$301,3,FALSE)</f>
        <v>IT</v>
      </c>
      <c r="D247" s="17" t="str">
        <f>IF(ISBLANK('Raw Data'!F247),"Active","Resigned")</f>
        <v>Active</v>
      </c>
      <c r="E247" s="17">
        <f ca="1">DATEDIF('Raw Data'!E247,IF(ISBLANK('Raw Data'!F247),TODAY(),'Raw Data'!F247),"Y")</f>
        <v>8</v>
      </c>
      <c r="F247" s="17" t="str">
        <f>_xlfn.IFS('Raw Data'!D247&lt;30,"Under 30",'Raw Data'!D247&lt;=40,"30-40",'Raw Data'!D247&lt;=50,"41-50",TRUE(),"51+")</f>
        <v>51+</v>
      </c>
      <c r="G247" s="38">
        <f>'Raw Data'!G247*12</f>
        <v>676800</v>
      </c>
      <c r="H247" s="17" t="str">
        <f t="shared" si="9"/>
        <v>Premium</v>
      </c>
      <c r="I247" s="17">
        <f t="shared" si="10"/>
        <v>37</v>
      </c>
      <c r="J247" s="17" t="str">
        <f t="shared" si="11"/>
        <v>IT-EMP0246</v>
      </c>
      <c r="K247" s="39">
        <f ca="1">EOMONTH('Raw Data'!E247,12*(YEAR(TODAY())-YEAR('Raw Data'!E247))+3)</f>
        <v>46387</v>
      </c>
      <c r="L247" s="17" t="str">
        <f ca="1">IF(AND('Raw Data'!H247&gt;=4,D247="Active",E247&lt;2),"Watch","")</f>
        <v/>
      </c>
      <c r="M247" s="69" t="str">
        <f>IFERROR(VLOOKUP($A247,'Raw Data'!$A$2:$C$50,3,FALSE()),"Not in first 49 rows")</f>
        <v>Not in first 49 rows</v>
      </c>
    </row>
    <row r="248" spans="1:13" x14ac:dyDescent="0.3">
      <c r="A248" s="68" t="str">
        <f>'Raw Data'!A248</f>
        <v>EMP0247</v>
      </c>
      <c r="B248" s="17" t="str">
        <f>INDEX('Raw Data'!$B$2:$B$301, MATCH(A248,'Raw Data'!$A$2:$A$301,0))</f>
        <v>Anjali Mehta</v>
      </c>
      <c r="C248" s="17" t="str">
        <f>VLOOKUP($A248,'Raw Data'!$A$2:$C$301,3,FALSE)</f>
        <v>Marketing</v>
      </c>
      <c r="D248" s="17" t="str">
        <f>IF(ISBLANK('Raw Data'!F248),"Active","Resigned")</f>
        <v>Active</v>
      </c>
      <c r="E248" s="17">
        <f ca="1">DATEDIF('Raw Data'!E248,IF(ISBLANK('Raw Data'!F248),TODAY(),'Raw Data'!F248),"Y")</f>
        <v>3</v>
      </c>
      <c r="F248" s="17" t="str">
        <f>_xlfn.IFS('Raw Data'!D248&lt;30,"Under 30",'Raw Data'!D248&lt;=40,"30-40",'Raw Data'!D248&lt;=50,"41-50",TRUE(),"51+")</f>
        <v>41-50</v>
      </c>
      <c r="G248" s="38">
        <f>'Raw Data'!G248*12</f>
        <v>446400</v>
      </c>
      <c r="H248" s="17" t="str">
        <f t="shared" si="9"/>
        <v>Mid</v>
      </c>
      <c r="I248" s="17">
        <f t="shared" si="10"/>
        <v>229</v>
      </c>
      <c r="J248" s="17" t="str">
        <f t="shared" si="11"/>
        <v>Mar-EMP0247</v>
      </c>
      <c r="K248" s="39">
        <f ca="1">EOMONTH('Raw Data'!E248,12*(YEAR(TODAY())-YEAR('Raw Data'!E248))+3)</f>
        <v>46446</v>
      </c>
      <c r="L248" s="17" t="str">
        <f ca="1">IF(AND('Raw Data'!H248&gt;=4,D248="Active",E248&lt;2),"Watch","")</f>
        <v/>
      </c>
      <c r="M248" s="69" t="str">
        <f>IFERROR(VLOOKUP($A248,'Raw Data'!$A$2:$C$50,3,FALSE()),"Not in first 49 rows")</f>
        <v>Not in first 49 rows</v>
      </c>
    </row>
    <row r="249" spans="1:13" x14ac:dyDescent="0.3">
      <c r="A249" s="68" t="str">
        <f>'Raw Data'!A249</f>
        <v>EMP0248</v>
      </c>
      <c r="B249" s="17" t="str">
        <f>INDEX('Raw Data'!$B$2:$B$301, MATCH(A249,'Raw Data'!$A$2:$A$301,0))</f>
        <v>Pooja Pillai</v>
      </c>
      <c r="C249" s="17" t="str">
        <f>VLOOKUP($A249,'Raw Data'!$A$2:$C$301,3,FALSE)</f>
        <v>HR</v>
      </c>
      <c r="D249" s="17" t="str">
        <f>IF(ISBLANK('Raw Data'!F249),"Active","Resigned")</f>
        <v>Active</v>
      </c>
      <c r="E249" s="17">
        <f ca="1">DATEDIF('Raw Data'!E249,IF(ISBLANK('Raw Data'!F249),TODAY(),'Raw Data'!F249),"Y")</f>
        <v>7</v>
      </c>
      <c r="F249" s="17" t="str">
        <f>_xlfn.IFS('Raw Data'!D249&lt;30,"Under 30",'Raw Data'!D249&lt;=40,"30-40",'Raw Data'!D249&lt;=50,"41-50",TRUE(),"51+")</f>
        <v>51+</v>
      </c>
      <c r="G249" s="38">
        <f>'Raw Data'!G249*12</f>
        <v>316800</v>
      </c>
      <c r="H249" s="17" t="str">
        <f t="shared" si="9"/>
        <v>Low</v>
      </c>
      <c r="I249" s="17">
        <f t="shared" si="10"/>
        <v>300</v>
      </c>
      <c r="J249" s="17" t="str">
        <f t="shared" si="11"/>
        <v>HR-EMP0248</v>
      </c>
      <c r="K249" s="39">
        <f ca="1">EOMONTH('Raw Data'!E249,12*(YEAR(TODAY())-YEAR('Raw Data'!E249))+3)</f>
        <v>46265</v>
      </c>
      <c r="L249" s="17" t="str">
        <f ca="1">IF(AND('Raw Data'!H249&gt;=4,D249="Active",E249&lt;2),"Watch","")</f>
        <v/>
      </c>
      <c r="M249" s="69" t="str">
        <f>IFERROR(VLOOKUP($A249,'Raw Data'!$A$2:$C$50,3,FALSE()),"Not in first 49 rows")</f>
        <v>Not in first 49 rows</v>
      </c>
    </row>
    <row r="250" spans="1:13" x14ac:dyDescent="0.3">
      <c r="A250" s="68" t="str">
        <f>'Raw Data'!A250</f>
        <v>EMP0249</v>
      </c>
      <c r="B250" s="17" t="str">
        <f>INDEX('Raw Data'!$B$2:$B$301, MATCH(A250,'Raw Data'!$A$2:$A$301,0))</f>
        <v>Kabir Kapoor</v>
      </c>
      <c r="C250" s="17" t="str">
        <f>VLOOKUP($A250,'Raw Data'!$A$2:$C$301,3,FALSE)</f>
        <v>IT</v>
      </c>
      <c r="D250" s="17" t="str">
        <f>IF(ISBLANK('Raw Data'!F250),"Active","Resigned")</f>
        <v>Active</v>
      </c>
      <c r="E250" s="17">
        <f ca="1">DATEDIF('Raw Data'!E250,IF(ISBLANK('Raw Data'!F250),TODAY(),'Raw Data'!F250),"Y")</f>
        <v>1</v>
      </c>
      <c r="F250" s="17" t="str">
        <f>_xlfn.IFS('Raw Data'!D250&lt;30,"Under 30",'Raw Data'!D250&lt;=40,"30-40",'Raw Data'!D250&lt;=50,"41-50",TRUE(),"51+")</f>
        <v>41-50</v>
      </c>
      <c r="G250" s="38">
        <f>'Raw Data'!G250*12</f>
        <v>778800</v>
      </c>
      <c r="H250" s="17" t="str">
        <f t="shared" si="9"/>
        <v>Premium</v>
      </c>
      <c r="I250" s="17">
        <f t="shared" si="10"/>
        <v>8</v>
      </c>
      <c r="J250" s="17" t="str">
        <f t="shared" si="11"/>
        <v>IT-EMP0249</v>
      </c>
      <c r="K250" s="39">
        <f ca="1">EOMONTH('Raw Data'!E250,12*(YEAR(TODAY())-YEAR('Raw Data'!E250))+3)</f>
        <v>46477</v>
      </c>
      <c r="L250" s="17" t="str">
        <f ca="1">IF(AND('Raw Data'!H250&gt;=4,D250="Active",E250&lt;2),"Watch","")</f>
        <v>Watch</v>
      </c>
      <c r="M250" s="69" t="str">
        <f>IFERROR(VLOOKUP($A250,'Raw Data'!$A$2:$C$50,3,FALSE()),"Not in first 49 rows")</f>
        <v>Not in first 49 rows</v>
      </c>
    </row>
    <row r="251" spans="1:13" x14ac:dyDescent="0.3">
      <c r="A251" s="68" t="str">
        <f>'Raw Data'!A251</f>
        <v>EMP0250</v>
      </c>
      <c r="B251" s="17" t="str">
        <f>INDEX('Raw Data'!$B$2:$B$301, MATCH(A251,'Raw Data'!$A$2:$A$301,0))</f>
        <v>Swati Chopra</v>
      </c>
      <c r="C251" s="17" t="str">
        <f>VLOOKUP($A251,'Raw Data'!$A$2:$C$301,3,FALSE)</f>
        <v>Finance</v>
      </c>
      <c r="D251" s="17" t="str">
        <f>IF(ISBLANK('Raw Data'!F251),"Active","Resigned")</f>
        <v>Active</v>
      </c>
      <c r="E251" s="17">
        <f ca="1">DATEDIF('Raw Data'!E251,IF(ISBLANK('Raw Data'!F251),TODAY(),'Raw Data'!F251),"Y")</f>
        <v>8</v>
      </c>
      <c r="F251" s="17" t="str">
        <f>_xlfn.IFS('Raw Data'!D251&lt;30,"Under 30",'Raw Data'!D251&lt;=40,"30-40",'Raw Data'!D251&lt;=50,"41-50",TRUE(),"51+")</f>
        <v>51+</v>
      </c>
      <c r="G251" s="38">
        <f>'Raw Data'!G251*12</f>
        <v>660000</v>
      </c>
      <c r="H251" s="17" t="str">
        <f t="shared" si="9"/>
        <v>Premium</v>
      </c>
      <c r="I251" s="17">
        <f t="shared" si="10"/>
        <v>42</v>
      </c>
      <c r="J251" s="17" t="str">
        <f t="shared" si="11"/>
        <v>Fin-EMP0250</v>
      </c>
      <c r="K251" s="39">
        <f ca="1">EOMONTH('Raw Data'!E251,12*(YEAR(TODAY())-YEAR('Raw Data'!E251))+3)</f>
        <v>46326</v>
      </c>
      <c r="L251" s="17" t="str">
        <f ca="1">IF(AND('Raw Data'!H251&gt;=4,D251="Active",E251&lt;2),"Watch","")</f>
        <v/>
      </c>
      <c r="M251" s="69" t="str">
        <f>IFERROR(VLOOKUP($A251,'Raw Data'!$A$2:$C$50,3,FALSE()),"Not in first 49 rows")</f>
        <v>Not in first 49 rows</v>
      </c>
    </row>
    <row r="252" spans="1:13" x14ac:dyDescent="0.3">
      <c r="A252" s="68" t="str">
        <f>'Raw Data'!A252</f>
        <v>EMP0251</v>
      </c>
      <c r="B252" s="17" t="str">
        <f>INDEX('Raw Data'!$B$2:$B$301, MATCH(A252,'Raw Data'!$A$2:$A$301,0))</f>
        <v>Anjali Desai</v>
      </c>
      <c r="C252" s="17" t="str">
        <f>VLOOKUP($A252,'Raw Data'!$A$2:$C$301,3,FALSE)</f>
        <v>Marketing</v>
      </c>
      <c r="D252" s="17" t="str">
        <f>IF(ISBLANK('Raw Data'!F252),"Active","Resigned")</f>
        <v>Active</v>
      </c>
      <c r="E252" s="17">
        <f ca="1">DATEDIF('Raw Data'!E252,IF(ISBLANK('Raw Data'!F252),TODAY(),'Raw Data'!F252),"Y")</f>
        <v>10</v>
      </c>
      <c r="F252" s="17" t="str">
        <f>_xlfn.IFS('Raw Data'!D252&lt;30,"Under 30",'Raw Data'!D252&lt;=40,"30-40",'Raw Data'!D252&lt;=50,"41-50",TRUE(),"51+")</f>
        <v>30-40</v>
      </c>
      <c r="G252" s="38">
        <f>'Raw Data'!G252*12</f>
        <v>561600</v>
      </c>
      <c r="H252" s="17" t="str">
        <f t="shared" si="9"/>
        <v>High</v>
      </c>
      <c r="I252" s="17">
        <f t="shared" si="10"/>
        <v>125</v>
      </c>
      <c r="J252" s="17" t="str">
        <f t="shared" si="11"/>
        <v>Mar-EMP0251</v>
      </c>
      <c r="K252" s="39">
        <f ca="1">EOMONTH('Raw Data'!E252,12*(YEAR(TODAY())-YEAR('Raw Data'!E252))+3)</f>
        <v>46265</v>
      </c>
      <c r="L252" s="17" t="str">
        <f ca="1">IF(AND('Raw Data'!H252&gt;=4,D252="Active",E252&lt;2),"Watch","")</f>
        <v/>
      </c>
      <c r="M252" s="69" t="str">
        <f>IFERROR(VLOOKUP($A252,'Raw Data'!$A$2:$C$50,3,FALSE()),"Not in first 49 rows")</f>
        <v>Not in first 49 rows</v>
      </c>
    </row>
    <row r="253" spans="1:13" x14ac:dyDescent="0.3">
      <c r="A253" s="68" t="str">
        <f>'Raw Data'!A253</f>
        <v>EMP0252</v>
      </c>
      <c r="B253" s="17" t="str">
        <f>INDEX('Raw Data'!$B$2:$B$301, MATCH(A253,'Raw Data'!$A$2:$A$301,0))</f>
        <v>Deepak Mehta</v>
      </c>
      <c r="C253" s="17" t="str">
        <f>VLOOKUP($A253,'Raw Data'!$A$2:$C$301,3,FALSE)</f>
        <v>HR</v>
      </c>
      <c r="D253" s="17" t="str">
        <f>IF(ISBLANK('Raw Data'!F253),"Active","Resigned")</f>
        <v>Active</v>
      </c>
      <c r="E253" s="17">
        <f ca="1">DATEDIF('Raw Data'!E253,IF(ISBLANK('Raw Data'!F253),TODAY(),'Raw Data'!F253),"Y")</f>
        <v>5</v>
      </c>
      <c r="F253" s="17" t="str">
        <f>_xlfn.IFS('Raw Data'!D253&lt;30,"Under 30",'Raw Data'!D253&lt;=40,"30-40",'Raw Data'!D253&lt;=50,"41-50",TRUE(),"51+")</f>
        <v>30-40</v>
      </c>
      <c r="G253" s="38">
        <f>'Raw Data'!G253*12</f>
        <v>429600</v>
      </c>
      <c r="H253" s="17" t="str">
        <f t="shared" si="9"/>
        <v>Mid</v>
      </c>
      <c r="I253" s="17">
        <f t="shared" si="10"/>
        <v>242</v>
      </c>
      <c r="J253" s="17" t="str">
        <f t="shared" si="11"/>
        <v>HR-EMP0252</v>
      </c>
      <c r="K253" s="39">
        <f ca="1">EOMONTH('Raw Data'!E253,12*(YEAR(TODAY())-YEAR('Raw Data'!E253))+3)</f>
        <v>46356</v>
      </c>
      <c r="L253" s="17" t="str">
        <f ca="1">IF(AND('Raw Data'!H253&gt;=4,D253="Active",E253&lt;2),"Watch","")</f>
        <v/>
      </c>
      <c r="M253" s="69" t="str">
        <f>IFERROR(VLOOKUP($A253,'Raw Data'!$A$2:$C$50,3,FALSE()),"Not in first 49 rows")</f>
        <v>Not in first 49 rows</v>
      </c>
    </row>
    <row r="254" spans="1:13" x14ac:dyDescent="0.3">
      <c r="A254" s="68" t="str">
        <f>'Raw Data'!A254</f>
        <v>EMP0253</v>
      </c>
      <c r="B254" s="17" t="str">
        <f>INDEX('Raw Data'!$B$2:$B$301, MATCH(A254,'Raw Data'!$A$2:$A$301,0))</f>
        <v>Priya Verma</v>
      </c>
      <c r="C254" s="17" t="str">
        <f>VLOOKUP($A254,'Raw Data'!$A$2:$C$301,3,FALSE)</f>
        <v>Operations</v>
      </c>
      <c r="D254" s="17" t="str">
        <f>IF(ISBLANK('Raw Data'!F254),"Active","Resigned")</f>
        <v>Resigned</v>
      </c>
      <c r="E254" s="17">
        <f ca="1">DATEDIF('Raw Data'!E254,IF(ISBLANK('Raw Data'!F254),TODAY(),'Raw Data'!F254),"Y")</f>
        <v>2</v>
      </c>
      <c r="F254" s="17" t="str">
        <f>_xlfn.IFS('Raw Data'!D254&lt;30,"Under 30",'Raw Data'!D254&lt;=40,"30-40",'Raw Data'!D254&lt;=50,"41-50",TRUE(),"51+")</f>
        <v>30-40</v>
      </c>
      <c r="G254" s="38">
        <f>'Raw Data'!G254*12</f>
        <v>636000</v>
      </c>
      <c r="H254" s="17" t="str">
        <f t="shared" si="9"/>
        <v>High</v>
      </c>
      <c r="I254" s="17">
        <f t="shared" si="10"/>
        <v>57</v>
      </c>
      <c r="J254" s="17" t="str">
        <f t="shared" si="11"/>
        <v>Ope-EMP0253</v>
      </c>
      <c r="K254" s="39">
        <f ca="1">EOMONTH('Raw Data'!E254,12*(YEAR(TODAY())-YEAR('Raw Data'!E254))+3)</f>
        <v>46418</v>
      </c>
      <c r="L254" s="17" t="str">
        <f ca="1">IF(AND('Raw Data'!H254&gt;=4,D254="Active",E254&lt;2),"Watch","")</f>
        <v/>
      </c>
      <c r="M254" s="69" t="str">
        <f>IFERROR(VLOOKUP($A254,'Raw Data'!$A$2:$C$50,3,FALSE()),"Not in first 49 rows")</f>
        <v>Not in first 49 rows</v>
      </c>
    </row>
    <row r="255" spans="1:13" x14ac:dyDescent="0.3">
      <c r="A255" s="68" t="str">
        <f>'Raw Data'!A255</f>
        <v>EMP0254</v>
      </c>
      <c r="B255" s="17" t="str">
        <f>INDEX('Raw Data'!$B$2:$B$301, MATCH(A255,'Raw Data'!$A$2:$A$301,0))</f>
        <v>Nikhil Mehta</v>
      </c>
      <c r="C255" s="17" t="str">
        <f>VLOOKUP($A255,'Raw Data'!$A$2:$C$301,3,FALSE)</f>
        <v>Marketing</v>
      </c>
      <c r="D255" s="17" t="str">
        <f>IF(ISBLANK('Raw Data'!F255),"Active","Resigned")</f>
        <v>Active</v>
      </c>
      <c r="E255" s="17">
        <f ca="1">DATEDIF('Raw Data'!E255,IF(ISBLANK('Raw Data'!F255),TODAY(),'Raw Data'!F255),"Y")</f>
        <v>4</v>
      </c>
      <c r="F255" s="17" t="str">
        <f>_xlfn.IFS('Raw Data'!D255&lt;30,"Under 30",'Raw Data'!D255&lt;=40,"30-40",'Raw Data'!D255&lt;=50,"41-50",TRUE(),"51+")</f>
        <v>51+</v>
      </c>
      <c r="G255" s="38">
        <f>'Raw Data'!G255*12</f>
        <v>462000</v>
      </c>
      <c r="H255" s="17" t="str">
        <f t="shared" si="9"/>
        <v>Mid</v>
      </c>
      <c r="I255" s="17">
        <f t="shared" si="10"/>
        <v>217</v>
      </c>
      <c r="J255" s="17" t="str">
        <f t="shared" si="11"/>
        <v>Mar-EMP0254</v>
      </c>
      <c r="K255" s="39">
        <f ca="1">EOMONTH('Raw Data'!E255,12*(YEAR(TODAY())-YEAR('Raw Data'!E255))+3)</f>
        <v>46477</v>
      </c>
      <c r="L255" s="17" t="str">
        <f ca="1">IF(AND('Raw Data'!H255&gt;=4,D255="Active",E255&lt;2),"Watch","")</f>
        <v/>
      </c>
      <c r="M255" s="69" t="str">
        <f>IFERROR(VLOOKUP($A255,'Raw Data'!$A$2:$C$50,3,FALSE()),"Not in first 49 rows")</f>
        <v>Not in first 49 rows</v>
      </c>
    </row>
    <row r="256" spans="1:13" x14ac:dyDescent="0.3">
      <c r="A256" s="68" t="str">
        <f>'Raw Data'!A256</f>
        <v>EMP0255</v>
      </c>
      <c r="B256" s="17" t="str">
        <f>INDEX('Raw Data'!$B$2:$B$301, MATCH(A256,'Raw Data'!$A$2:$A$301,0))</f>
        <v>Kiara Agarwal</v>
      </c>
      <c r="C256" s="17" t="str">
        <f>VLOOKUP($A256,'Raw Data'!$A$2:$C$301,3,FALSE)</f>
        <v>HR</v>
      </c>
      <c r="D256" s="17" t="str">
        <f>IF(ISBLANK('Raw Data'!F256),"Active","Resigned")</f>
        <v>Resigned</v>
      </c>
      <c r="E256" s="17">
        <f ca="1">DATEDIF('Raw Data'!E256,IF(ISBLANK('Raw Data'!F256),TODAY(),'Raw Data'!F256),"Y")</f>
        <v>3</v>
      </c>
      <c r="F256" s="17" t="str">
        <f>_xlfn.IFS('Raw Data'!D256&lt;30,"Under 30",'Raw Data'!D256&lt;=40,"30-40",'Raw Data'!D256&lt;=50,"41-50",TRUE(),"51+")</f>
        <v>30-40</v>
      </c>
      <c r="G256" s="38">
        <f>'Raw Data'!G256*12</f>
        <v>376800</v>
      </c>
      <c r="H256" s="17" t="str">
        <f t="shared" si="9"/>
        <v>Low</v>
      </c>
      <c r="I256" s="17">
        <f t="shared" si="10"/>
        <v>278</v>
      </c>
      <c r="J256" s="17" t="str">
        <f t="shared" si="11"/>
        <v>HR-EMP0255</v>
      </c>
      <c r="K256" s="39">
        <f ca="1">EOMONTH('Raw Data'!E256,12*(YEAR(TODAY())-YEAR('Raw Data'!E256))+3)</f>
        <v>46418</v>
      </c>
      <c r="L256" s="17" t="str">
        <f ca="1">IF(AND('Raw Data'!H256&gt;=4,D256="Active",E256&lt;2),"Watch","")</f>
        <v/>
      </c>
      <c r="M256" s="69" t="str">
        <f>IFERROR(VLOOKUP($A256,'Raw Data'!$A$2:$C$50,3,FALSE()),"Not in first 49 rows")</f>
        <v>Not in first 49 rows</v>
      </c>
    </row>
    <row r="257" spans="1:13" x14ac:dyDescent="0.3">
      <c r="A257" s="68" t="str">
        <f>'Raw Data'!A257</f>
        <v>EMP0256</v>
      </c>
      <c r="B257" s="17" t="str">
        <f>INDEX('Raw Data'!$B$2:$B$301, MATCH(A257,'Raw Data'!$A$2:$A$301,0))</f>
        <v>Isha Rao</v>
      </c>
      <c r="C257" s="17" t="str">
        <f>VLOOKUP($A257,'Raw Data'!$A$2:$C$301,3,FALSE)</f>
        <v>Operations</v>
      </c>
      <c r="D257" s="17" t="str">
        <f>IF(ISBLANK('Raw Data'!F257),"Active","Resigned")</f>
        <v>Active</v>
      </c>
      <c r="E257" s="17">
        <f ca="1">DATEDIF('Raw Data'!E257,IF(ISBLANK('Raw Data'!F257),TODAY(),'Raw Data'!F257),"Y")</f>
        <v>2</v>
      </c>
      <c r="F257" s="17" t="str">
        <f>_xlfn.IFS('Raw Data'!D257&lt;30,"Under 30",'Raw Data'!D257&lt;=40,"30-40",'Raw Data'!D257&lt;=50,"41-50",TRUE(),"51+")</f>
        <v>30-40</v>
      </c>
      <c r="G257" s="38">
        <f>'Raw Data'!G257*12</f>
        <v>439200</v>
      </c>
      <c r="H257" s="17" t="str">
        <f t="shared" si="9"/>
        <v>Mid</v>
      </c>
      <c r="I257" s="17">
        <f t="shared" si="10"/>
        <v>238</v>
      </c>
      <c r="J257" s="17" t="str">
        <f t="shared" si="11"/>
        <v>Ope-EMP0256</v>
      </c>
      <c r="K257" s="39">
        <f ca="1">EOMONTH('Raw Data'!E257,12*(YEAR(TODAY())-YEAR('Raw Data'!E257))+3)</f>
        <v>46387</v>
      </c>
      <c r="L257" s="17" t="str">
        <f ca="1">IF(AND('Raw Data'!H257&gt;=4,D257="Active",E257&lt;2),"Watch","")</f>
        <v/>
      </c>
      <c r="M257" s="69" t="str">
        <f>IFERROR(VLOOKUP($A257,'Raw Data'!$A$2:$C$50,3,FALSE()),"Not in first 49 rows")</f>
        <v>Not in first 49 rows</v>
      </c>
    </row>
    <row r="258" spans="1:13" x14ac:dyDescent="0.3">
      <c r="A258" s="68" t="str">
        <f>'Raw Data'!A258</f>
        <v>EMP0257</v>
      </c>
      <c r="B258" s="17" t="str">
        <f>INDEX('Raw Data'!$B$2:$B$301, MATCH(A258,'Raw Data'!$A$2:$A$301,0))</f>
        <v>Anika Rao</v>
      </c>
      <c r="C258" s="17" t="str">
        <f>VLOOKUP($A258,'Raw Data'!$A$2:$C$301,3,FALSE)</f>
        <v>Sales</v>
      </c>
      <c r="D258" s="17" t="str">
        <f>IF(ISBLANK('Raw Data'!F258),"Active","Resigned")</f>
        <v>Active</v>
      </c>
      <c r="E258" s="17">
        <f ca="1">DATEDIF('Raw Data'!E258,IF(ISBLANK('Raw Data'!F258),TODAY(),'Raw Data'!F258),"Y")</f>
        <v>2</v>
      </c>
      <c r="F258" s="17" t="str">
        <f>_xlfn.IFS('Raw Data'!D258&lt;30,"Under 30",'Raw Data'!D258&lt;=40,"30-40",'Raw Data'!D258&lt;=50,"41-50",TRUE(),"51+")</f>
        <v>51+</v>
      </c>
      <c r="G258" s="38">
        <f>'Raw Data'!G258*12</f>
        <v>594000</v>
      </c>
      <c r="H258" s="17" t="str">
        <f t="shared" si="9"/>
        <v>High</v>
      </c>
      <c r="I258" s="17">
        <f t="shared" si="10"/>
        <v>98</v>
      </c>
      <c r="J258" s="17" t="str">
        <f t="shared" si="11"/>
        <v>Sal-EMP0257</v>
      </c>
      <c r="K258" s="39">
        <f ca="1">EOMONTH('Raw Data'!E258,12*(YEAR(TODAY())-YEAR('Raw Data'!E258))+3)</f>
        <v>46356</v>
      </c>
      <c r="L258" s="17" t="str">
        <f ca="1">IF(AND('Raw Data'!H258&gt;=4,D258="Active",E258&lt;2),"Watch","")</f>
        <v/>
      </c>
      <c r="M258" s="69" t="str">
        <f>IFERROR(VLOOKUP($A258,'Raw Data'!$A$2:$C$50,3,FALSE()),"Not in first 49 rows")</f>
        <v>Not in first 49 rows</v>
      </c>
    </row>
    <row r="259" spans="1:13" x14ac:dyDescent="0.3">
      <c r="A259" s="68" t="str">
        <f>'Raw Data'!A259</f>
        <v>EMP0258</v>
      </c>
      <c r="B259" s="17" t="str">
        <f>INDEX('Raw Data'!$B$2:$B$301, MATCH(A259,'Raw Data'!$A$2:$A$301,0))</f>
        <v>Sanjay Singh</v>
      </c>
      <c r="C259" s="17" t="str">
        <f>VLOOKUP($A259,'Raw Data'!$A$2:$C$301,3,FALSE)</f>
        <v>Finance</v>
      </c>
      <c r="D259" s="17" t="str">
        <f>IF(ISBLANK('Raw Data'!F259),"Active","Resigned")</f>
        <v>Active</v>
      </c>
      <c r="E259" s="17">
        <f ca="1">DATEDIF('Raw Data'!E259,IF(ISBLANK('Raw Data'!F259),TODAY(),'Raw Data'!F259),"Y")</f>
        <v>7</v>
      </c>
      <c r="F259" s="17" t="str">
        <f>_xlfn.IFS('Raw Data'!D259&lt;30,"Under 30",'Raw Data'!D259&lt;=40,"30-40",'Raw Data'!D259&lt;=50,"41-50",TRUE(),"51+")</f>
        <v>Under 30</v>
      </c>
      <c r="G259" s="38">
        <f>'Raw Data'!G259*12</f>
        <v>514800</v>
      </c>
      <c r="H259" s="17" t="str">
        <f t="shared" ref="H259:H301" si="12">_xlfn.IFS(G259&lt;420000,"Low",G259&lt;540000,"Mid",G259&lt;660000,"High",TRUE(),"Premium")</f>
        <v>Mid</v>
      </c>
      <c r="I259" s="17">
        <f t="shared" ref="I259:I301" si="13">RANK(G259,$G$2:$G$301)</f>
        <v>175</v>
      </c>
      <c r="J259" s="17" t="str">
        <f t="shared" ref="J259:J301" si="14">_xlfn.TEXTJOIN("-",TRUE(),LEFT(C259,3),A259)</f>
        <v>Fin-EMP0258</v>
      </c>
      <c r="K259" s="39">
        <f ca="1">EOMONTH('Raw Data'!E259,12*(YEAR(TODAY())-YEAR('Raw Data'!E259))+3)</f>
        <v>46203</v>
      </c>
      <c r="L259" s="17" t="str">
        <f ca="1">IF(AND('Raw Data'!H259&gt;=4,D259="Active",E259&lt;2),"Watch","")</f>
        <v/>
      </c>
      <c r="M259" s="69" t="str">
        <f>IFERROR(VLOOKUP($A259,'Raw Data'!$A$2:$C$50,3,FALSE()),"Not in first 49 rows")</f>
        <v>Not in first 49 rows</v>
      </c>
    </row>
    <row r="260" spans="1:13" x14ac:dyDescent="0.3">
      <c r="A260" s="68" t="str">
        <f>'Raw Data'!A260</f>
        <v>EMP0259</v>
      </c>
      <c r="B260" s="17" t="str">
        <f>INDEX('Raw Data'!$B$2:$B$301, MATCH(A260,'Raw Data'!$A$2:$A$301,0))</f>
        <v>Kiara Chopra</v>
      </c>
      <c r="C260" s="17" t="str">
        <f>VLOOKUP($A260,'Raw Data'!$A$2:$C$301,3,FALSE)</f>
        <v>Marketing</v>
      </c>
      <c r="D260" s="17" t="str">
        <f>IF(ISBLANK('Raw Data'!F260),"Active","Resigned")</f>
        <v>Active</v>
      </c>
      <c r="E260" s="17">
        <f ca="1">DATEDIF('Raw Data'!E260,IF(ISBLANK('Raw Data'!F260),TODAY(),'Raw Data'!F260),"Y")</f>
        <v>1</v>
      </c>
      <c r="F260" s="17" t="str">
        <f>_xlfn.IFS('Raw Data'!D260&lt;30,"Under 30",'Raw Data'!D260&lt;=40,"30-40",'Raw Data'!D260&lt;=50,"41-50",TRUE(),"51+")</f>
        <v>30-40</v>
      </c>
      <c r="G260" s="38">
        <f>'Raw Data'!G260*12</f>
        <v>628800</v>
      </c>
      <c r="H260" s="17" t="str">
        <f t="shared" si="12"/>
        <v>High</v>
      </c>
      <c r="I260" s="17">
        <f t="shared" si="13"/>
        <v>61</v>
      </c>
      <c r="J260" s="17" t="str">
        <f t="shared" si="14"/>
        <v>Mar-EMP0259</v>
      </c>
      <c r="K260" s="39">
        <f ca="1">EOMONTH('Raw Data'!E260,12*(YEAR(TODAY())-YEAR('Raw Data'!E260))+3)</f>
        <v>46234</v>
      </c>
      <c r="L260" s="17" t="str">
        <f ca="1">IF(AND('Raw Data'!H260&gt;=4,D260="Active",E260&lt;2),"Watch","")</f>
        <v>Watch</v>
      </c>
      <c r="M260" s="69" t="str">
        <f>IFERROR(VLOOKUP($A260,'Raw Data'!$A$2:$C$50,3,FALSE()),"Not in first 49 rows")</f>
        <v>Not in first 49 rows</v>
      </c>
    </row>
    <row r="261" spans="1:13" x14ac:dyDescent="0.3">
      <c r="A261" s="68" t="str">
        <f>'Raw Data'!A261</f>
        <v>EMP0260</v>
      </c>
      <c r="B261" s="17" t="str">
        <f>INDEX('Raw Data'!$B$2:$B$301, MATCH(A261,'Raw Data'!$A$2:$A$301,0))</f>
        <v>Rohan Kumar</v>
      </c>
      <c r="C261" s="17" t="str">
        <f>VLOOKUP($A261,'Raw Data'!$A$2:$C$301,3,FALSE)</f>
        <v>IT</v>
      </c>
      <c r="D261" s="17" t="str">
        <f>IF(ISBLANK('Raw Data'!F261),"Active","Resigned")</f>
        <v>Resigned</v>
      </c>
      <c r="E261" s="17">
        <f ca="1">DATEDIF('Raw Data'!E261,IF(ISBLANK('Raw Data'!F261),TODAY(),'Raw Data'!F261),"Y")</f>
        <v>6</v>
      </c>
      <c r="F261" s="17" t="str">
        <f>_xlfn.IFS('Raw Data'!D261&lt;30,"Under 30",'Raw Data'!D261&lt;=40,"30-40",'Raw Data'!D261&lt;=50,"41-50",TRUE(),"51+")</f>
        <v>30-40</v>
      </c>
      <c r="G261" s="38">
        <f>'Raw Data'!G261*12</f>
        <v>592800</v>
      </c>
      <c r="H261" s="17" t="str">
        <f t="shared" si="12"/>
        <v>High</v>
      </c>
      <c r="I261" s="17">
        <f t="shared" si="13"/>
        <v>101</v>
      </c>
      <c r="J261" s="17" t="str">
        <f t="shared" si="14"/>
        <v>IT-EMP0260</v>
      </c>
      <c r="K261" s="39">
        <f ca="1">EOMONTH('Raw Data'!E261,12*(YEAR(TODAY())-YEAR('Raw Data'!E261))+3)</f>
        <v>46387</v>
      </c>
      <c r="L261" s="17" t="str">
        <f ca="1">IF(AND('Raw Data'!H261&gt;=4,D261="Active",E261&lt;2),"Watch","")</f>
        <v/>
      </c>
      <c r="M261" s="69" t="str">
        <f>IFERROR(VLOOKUP($A261,'Raw Data'!$A$2:$C$50,3,FALSE()),"Not in first 49 rows")</f>
        <v>Not in first 49 rows</v>
      </c>
    </row>
    <row r="262" spans="1:13" x14ac:dyDescent="0.3">
      <c r="A262" s="68" t="str">
        <f>'Raw Data'!A262</f>
        <v>EMP0261</v>
      </c>
      <c r="B262" s="17" t="str">
        <f>INDEX('Raw Data'!$B$2:$B$301, MATCH(A262,'Raw Data'!$A$2:$A$301,0))</f>
        <v>Ishaan Kapoor</v>
      </c>
      <c r="C262" s="17" t="str">
        <f>VLOOKUP($A262,'Raw Data'!$A$2:$C$301,3,FALSE)</f>
        <v>Finance</v>
      </c>
      <c r="D262" s="17" t="str">
        <f>IF(ISBLANK('Raw Data'!F262),"Active","Resigned")</f>
        <v>Active</v>
      </c>
      <c r="E262" s="17">
        <f ca="1">DATEDIF('Raw Data'!E262,IF(ISBLANK('Raw Data'!F262),TODAY(),'Raw Data'!F262),"Y")</f>
        <v>9</v>
      </c>
      <c r="F262" s="17" t="str">
        <f>_xlfn.IFS('Raw Data'!D262&lt;30,"Under 30",'Raw Data'!D262&lt;=40,"30-40",'Raw Data'!D262&lt;=50,"41-50",TRUE(),"51+")</f>
        <v>51+</v>
      </c>
      <c r="G262" s="38">
        <f>'Raw Data'!G262*12</f>
        <v>531600</v>
      </c>
      <c r="H262" s="17" t="str">
        <f t="shared" si="12"/>
        <v>Mid</v>
      </c>
      <c r="I262" s="17">
        <f t="shared" si="13"/>
        <v>161</v>
      </c>
      <c r="J262" s="17" t="str">
        <f t="shared" si="14"/>
        <v>Fin-EMP0261</v>
      </c>
      <c r="K262" s="39">
        <f ca="1">EOMONTH('Raw Data'!E262,12*(YEAR(TODAY())-YEAR('Raw Data'!E262))+3)</f>
        <v>46173</v>
      </c>
      <c r="L262" s="17" t="str">
        <f ca="1">IF(AND('Raw Data'!H262&gt;=4,D262="Active",E262&lt;2),"Watch","")</f>
        <v/>
      </c>
      <c r="M262" s="69" t="str">
        <f>IFERROR(VLOOKUP($A262,'Raw Data'!$A$2:$C$50,3,FALSE()),"Not in first 49 rows")</f>
        <v>Not in first 49 rows</v>
      </c>
    </row>
    <row r="263" spans="1:13" x14ac:dyDescent="0.3">
      <c r="A263" s="68" t="str">
        <f>'Raw Data'!A263</f>
        <v>EMP0262</v>
      </c>
      <c r="B263" s="17" t="str">
        <f>INDEX('Raw Data'!$B$2:$B$301, MATCH(A263,'Raw Data'!$A$2:$A$301,0))</f>
        <v>Ananya Kapoor</v>
      </c>
      <c r="C263" s="17" t="str">
        <f>VLOOKUP($A263,'Raw Data'!$A$2:$C$301,3,FALSE)</f>
        <v>Operations</v>
      </c>
      <c r="D263" s="17" t="str">
        <f>IF(ISBLANK('Raw Data'!F263),"Active","Resigned")</f>
        <v>Active</v>
      </c>
      <c r="E263" s="17">
        <f ca="1">DATEDIF('Raw Data'!E263,IF(ISBLANK('Raw Data'!F263),TODAY(),'Raw Data'!F263),"Y")</f>
        <v>5</v>
      </c>
      <c r="F263" s="17" t="str">
        <f>_xlfn.IFS('Raw Data'!D263&lt;30,"Under 30",'Raw Data'!D263&lt;=40,"30-40",'Raw Data'!D263&lt;=50,"41-50",TRUE(),"51+")</f>
        <v>51+</v>
      </c>
      <c r="G263" s="38">
        <f>'Raw Data'!G263*12</f>
        <v>565200</v>
      </c>
      <c r="H263" s="17" t="str">
        <f t="shared" si="12"/>
        <v>High</v>
      </c>
      <c r="I263" s="17">
        <f t="shared" si="13"/>
        <v>124</v>
      </c>
      <c r="J263" s="17" t="str">
        <f t="shared" si="14"/>
        <v>Ope-EMP0262</v>
      </c>
      <c r="K263" s="39">
        <f ca="1">EOMONTH('Raw Data'!E263,12*(YEAR(TODAY())-YEAR('Raw Data'!E263))+3)</f>
        <v>46265</v>
      </c>
      <c r="L263" s="17" t="str">
        <f ca="1">IF(AND('Raw Data'!H263&gt;=4,D263="Active",E263&lt;2),"Watch","")</f>
        <v/>
      </c>
      <c r="M263" s="69" t="str">
        <f>IFERROR(VLOOKUP($A263,'Raw Data'!$A$2:$C$50,3,FALSE()),"Not in first 49 rows")</f>
        <v>Not in first 49 rows</v>
      </c>
    </row>
    <row r="264" spans="1:13" x14ac:dyDescent="0.3">
      <c r="A264" s="68" t="str">
        <f>'Raw Data'!A264</f>
        <v>EMP0263</v>
      </c>
      <c r="B264" s="17" t="str">
        <f>INDEX('Raw Data'!$B$2:$B$301, MATCH(A264,'Raw Data'!$A$2:$A$301,0))</f>
        <v>Riya Verma</v>
      </c>
      <c r="C264" s="17" t="str">
        <f>VLOOKUP($A264,'Raw Data'!$A$2:$C$301,3,FALSE)</f>
        <v>Sales</v>
      </c>
      <c r="D264" s="17" t="str">
        <f>IF(ISBLANK('Raw Data'!F264),"Active","Resigned")</f>
        <v>Active</v>
      </c>
      <c r="E264" s="17">
        <f ca="1">DATEDIF('Raw Data'!E264,IF(ISBLANK('Raw Data'!F264),TODAY(),'Raw Data'!F264),"Y")</f>
        <v>7</v>
      </c>
      <c r="F264" s="17" t="str">
        <f>_xlfn.IFS('Raw Data'!D264&lt;30,"Under 30",'Raw Data'!D264&lt;=40,"30-40",'Raw Data'!D264&lt;=50,"41-50",TRUE(),"51+")</f>
        <v>51+</v>
      </c>
      <c r="G264" s="38">
        <f>'Raw Data'!G264*12</f>
        <v>544800</v>
      </c>
      <c r="H264" s="17" t="str">
        <f t="shared" si="12"/>
        <v>High</v>
      </c>
      <c r="I264" s="17">
        <f t="shared" si="13"/>
        <v>142</v>
      </c>
      <c r="J264" s="17" t="str">
        <f t="shared" si="14"/>
        <v>Sal-EMP0263</v>
      </c>
      <c r="K264" s="39">
        <f ca="1">EOMONTH('Raw Data'!E264,12*(YEAR(TODAY())-YEAR('Raw Data'!E264))+3)</f>
        <v>46356</v>
      </c>
      <c r="L264" s="17" t="str">
        <f ca="1">IF(AND('Raw Data'!H264&gt;=4,D264="Active",E264&lt;2),"Watch","")</f>
        <v/>
      </c>
      <c r="M264" s="69" t="str">
        <f>IFERROR(VLOOKUP($A264,'Raw Data'!$A$2:$C$50,3,FALSE()),"Not in first 49 rows")</f>
        <v>Not in first 49 rows</v>
      </c>
    </row>
    <row r="265" spans="1:13" x14ac:dyDescent="0.3">
      <c r="A265" s="68" t="str">
        <f>'Raw Data'!A265</f>
        <v>EMP0264</v>
      </c>
      <c r="B265" s="17" t="str">
        <f>INDEX('Raw Data'!$B$2:$B$301, MATCH(A265,'Raw Data'!$A$2:$A$301,0))</f>
        <v>Diya Kapoor</v>
      </c>
      <c r="C265" s="17" t="str">
        <f>VLOOKUP($A265,'Raw Data'!$A$2:$C$301,3,FALSE)</f>
        <v>Marketing</v>
      </c>
      <c r="D265" s="17" t="str">
        <f>IF(ISBLANK('Raw Data'!F265),"Active","Resigned")</f>
        <v>Active</v>
      </c>
      <c r="E265" s="17">
        <f ca="1">DATEDIF('Raw Data'!E265,IF(ISBLANK('Raw Data'!F265),TODAY(),'Raw Data'!F265),"Y")</f>
        <v>1</v>
      </c>
      <c r="F265" s="17" t="str">
        <f>_xlfn.IFS('Raw Data'!D265&lt;30,"Under 30",'Raw Data'!D265&lt;=40,"30-40",'Raw Data'!D265&lt;=50,"41-50",TRUE(),"51+")</f>
        <v>Under 30</v>
      </c>
      <c r="G265" s="38">
        <f>'Raw Data'!G265*12</f>
        <v>502800</v>
      </c>
      <c r="H265" s="17" t="str">
        <f t="shared" si="12"/>
        <v>Mid</v>
      </c>
      <c r="I265" s="17">
        <f t="shared" si="13"/>
        <v>185</v>
      </c>
      <c r="J265" s="17" t="str">
        <f t="shared" si="14"/>
        <v>Mar-EMP0264</v>
      </c>
      <c r="K265" s="39">
        <f ca="1">EOMONTH('Raw Data'!E265,12*(YEAR(TODAY())-YEAR('Raw Data'!E265))+3)</f>
        <v>46265</v>
      </c>
      <c r="L265" s="17" t="str">
        <f ca="1">IF(AND('Raw Data'!H265&gt;=4,D265="Active",E265&lt;2),"Watch","")</f>
        <v>Watch</v>
      </c>
      <c r="M265" s="69" t="str">
        <f>IFERROR(VLOOKUP($A265,'Raw Data'!$A$2:$C$50,3,FALSE()),"Not in first 49 rows")</f>
        <v>Not in first 49 rows</v>
      </c>
    </row>
    <row r="266" spans="1:13" x14ac:dyDescent="0.3">
      <c r="A266" s="68" t="str">
        <f>'Raw Data'!A266</f>
        <v>EMP0265</v>
      </c>
      <c r="B266" s="17" t="str">
        <f>INDEX('Raw Data'!$B$2:$B$301, MATCH(A266,'Raw Data'!$A$2:$A$301,0))</f>
        <v>Riya Verma</v>
      </c>
      <c r="C266" s="17" t="str">
        <f>VLOOKUP($A266,'Raw Data'!$A$2:$C$301,3,FALSE)</f>
        <v>Sales</v>
      </c>
      <c r="D266" s="17" t="str">
        <f>IF(ISBLANK('Raw Data'!F266),"Active","Resigned")</f>
        <v>Active</v>
      </c>
      <c r="E266" s="17">
        <f ca="1">DATEDIF('Raw Data'!E266,IF(ISBLANK('Raw Data'!F266),TODAY(),'Raw Data'!F266),"Y")</f>
        <v>4</v>
      </c>
      <c r="F266" s="17" t="str">
        <f>_xlfn.IFS('Raw Data'!D266&lt;30,"Under 30",'Raw Data'!D266&lt;=40,"30-40",'Raw Data'!D266&lt;=50,"41-50",TRUE(),"51+")</f>
        <v>41-50</v>
      </c>
      <c r="G266" s="38">
        <f>'Raw Data'!G266*12</f>
        <v>603600</v>
      </c>
      <c r="H266" s="17" t="str">
        <f t="shared" si="12"/>
        <v>High</v>
      </c>
      <c r="I266" s="17">
        <f t="shared" si="13"/>
        <v>91</v>
      </c>
      <c r="J266" s="17" t="str">
        <f t="shared" si="14"/>
        <v>Sal-EMP0265</v>
      </c>
      <c r="K266" s="39">
        <f ca="1">EOMONTH('Raw Data'!E266,12*(YEAR(TODAY())-YEAR('Raw Data'!E266))+3)</f>
        <v>46265</v>
      </c>
      <c r="L266" s="17" t="str">
        <f ca="1">IF(AND('Raw Data'!H266&gt;=4,D266="Active",E266&lt;2),"Watch","")</f>
        <v/>
      </c>
      <c r="M266" s="69" t="str">
        <f>IFERROR(VLOOKUP($A266,'Raw Data'!$A$2:$C$50,3,FALSE()),"Not in first 49 rows")</f>
        <v>Not in first 49 rows</v>
      </c>
    </row>
    <row r="267" spans="1:13" x14ac:dyDescent="0.3">
      <c r="A267" s="68" t="str">
        <f>'Raw Data'!A267</f>
        <v>EMP0266</v>
      </c>
      <c r="B267" s="17" t="str">
        <f>INDEX('Raw Data'!$B$2:$B$301, MATCH(A267,'Raw Data'!$A$2:$A$301,0))</f>
        <v>Rajesh Pillai</v>
      </c>
      <c r="C267" s="17" t="str">
        <f>VLOOKUP($A267,'Raw Data'!$A$2:$C$301,3,FALSE)</f>
        <v>IT</v>
      </c>
      <c r="D267" s="17" t="str">
        <f>IF(ISBLANK('Raw Data'!F267),"Active","Resigned")</f>
        <v>Active</v>
      </c>
      <c r="E267" s="17">
        <f ca="1">DATEDIF('Raw Data'!E267,IF(ISBLANK('Raw Data'!F267),TODAY(),'Raw Data'!F267),"Y")</f>
        <v>9</v>
      </c>
      <c r="F267" s="17" t="str">
        <f>_xlfn.IFS('Raw Data'!D267&lt;30,"Under 30",'Raw Data'!D267&lt;=40,"30-40",'Raw Data'!D267&lt;=50,"41-50",TRUE(),"51+")</f>
        <v>51+</v>
      </c>
      <c r="G267" s="38">
        <f>'Raw Data'!G267*12</f>
        <v>662400</v>
      </c>
      <c r="H267" s="17" t="str">
        <f t="shared" si="12"/>
        <v>Premium</v>
      </c>
      <c r="I267" s="17">
        <f t="shared" si="13"/>
        <v>41</v>
      </c>
      <c r="J267" s="17" t="str">
        <f t="shared" si="14"/>
        <v>IT-EMP0266</v>
      </c>
      <c r="K267" s="39">
        <f ca="1">EOMONTH('Raw Data'!E267,12*(YEAR(TODAY())-YEAR('Raw Data'!E267))+3)</f>
        <v>46326</v>
      </c>
      <c r="L267" s="17" t="str">
        <f ca="1">IF(AND('Raw Data'!H267&gt;=4,D267="Active",E267&lt;2),"Watch","")</f>
        <v/>
      </c>
      <c r="M267" s="69" t="str">
        <f>IFERROR(VLOOKUP($A267,'Raw Data'!$A$2:$C$50,3,FALSE()),"Not in first 49 rows")</f>
        <v>Not in first 49 rows</v>
      </c>
    </row>
    <row r="268" spans="1:13" x14ac:dyDescent="0.3">
      <c r="A268" s="68" t="str">
        <f>'Raw Data'!A268</f>
        <v>EMP0267</v>
      </c>
      <c r="B268" s="17" t="str">
        <f>INDEX('Raw Data'!$B$2:$B$301, MATCH(A268,'Raw Data'!$A$2:$A$301,0))</f>
        <v>Kabir Mehta</v>
      </c>
      <c r="C268" s="17" t="str">
        <f>VLOOKUP($A268,'Raw Data'!$A$2:$C$301,3,FALSE)</f>
        <v>Marketing</v>
      </c>
      <c r="D268" s="17" t="str">
        <f>IF(ISBLANK('Raw Data'!F268),"Active","Resigned")</f>
        <v>Resigned</v>
      </c>
      <c r="E268" s="17">
        <f ca="1">DATEDIF('Raw Data'!E268,IF(ISBLANK('Raw Data'!F268),TODAY(),'Raw Data'!F268),"Y")</f>
        <v>1</v>
      </c>
      <c r="F268" s="17" t="str">
        <f>_xlfn.IFS('Raw Data'!D268&lt;30,"Under 30",'Raw Data'!D268&lt;=40,"30-40",'Raw Data'!D268&lt;=50,"41-50",TRUE(),"51+")</f>
        <v>51+</v>
      </c>
      <c r="G268" s="38">
        <f>'Raw Data'!G268*12</f>
        <v>363600</v>
      </c>
      <c r="H268" s="17" t="str">
        <f t="shared" si="12"/>
        <v>Low</v>
      </c>
      <c r="I268" s="17">
        <f t="shared" si="13"/>
        <v>287</v>
      </c>
      <c r="J268" s="17" t="str">
        <f t="shared" si="14"/>
        <v>Mar-EMP0267</v>
      </c>
      <c r="K268" s="39">
        <f ca="1">EOMONTH('Raw Data'!E268,12*(YEAR(TODAY())-YEAR('Raw Data'!E268))+3)</f>
        <v>46234</v>
      </c>
      <c r="L268" s="17" t="str">
        <f ca="1">IF(AND('Raw Data'!H268&gt;=4,D268="Active",E268&lt;2),"Watch","")</f>
        <v/>
      </c>
      <c r="M268" s="69" t="str">
        <f>IFERROR(VLOOKUP($A268,'Raw Data'!$A$2:$C$50,3,FALSE()),"Not in first 49 rows")</f>
        <v>Not in first 49 rows</v>
      </c>
    </row>
    <row r="269" spans="1:13" x14ac:dyDescent="0.3">
      <c r="A269" s="68" t="str">
        <f>'Raw Data'!A269</f>
        <v>EMP0268</v>
      </c>
      <c r="B269" s="17" t="str">
        <f>INDEX('Raw Data'!$B$2:$B$301, MATCH(A269,'Raw Data'!$A$2:$A$301,0))</f>
        <v>Riya Menon</v>
      </c>
      <c r="C269" s="17" t="str">
        <f>VLOOKUP($A269,'Raw Data'!$A$2:$C$301,3,FALSE)</f>
        <v>Operations</v>
      </c>
      <c r="D269" s="17" t="str">
        <f>IF(ISBLANK('Raw Data'!F269),"Active","Resigned")</f>
        <v>Active</v>
      </c>
      <c r="E269" s="17">
        <f ca="1">DATEDIF('Raw Data'!E269,IF(ISBLANK('Raw Data'!F269),TODAY(),'Raw Data'!F269),"Y")</f>
        <v>8</v>
      </c>
      <c r="F269" s="17" t="str">
        <f>_xlfn.IFS('Raw Data'!D269&lt;30,"Under 30",'Raw Data'!D269&lt;=40,"30-40",'Raw Data'!D269&lt;=50,"41-50",TRUE(),"51+")</f>
        <v>30-40</v>
      </c>
      <c r="G269" s="38">
        <f>'Raw Data'!G269*12</f>
        <v>531600</v>
      </c>
      <c r="H269" s="17" t="str">
        <f t="shared" si="12"/>
        <v>Mid</v>
      </c>
      <c r="I269" s="17">
        <f t="shared" si="13"/>
        <v>161</v>
      </c>
      <c r="J269" s="17" t="str">
        <f t="shared" si="14"/>
        <v>Ope-EMP0268</v>
      </c>
      <c r="K269" s="39">
        <f ca="1">EOMONTH('Raw Data'!E269,12*(YEAR(TODAY())-YEAR('Raw Data'!E269))+3)</f>
        <v>46477</v>
      </c>
      <c r="L269" s="17" t="str">
        <f ca="1">IF(AND('Raw Data'!H269&gt;=4,D269="Active",E269&lt;2),"Watch","")</f>
        <v/>
      </c>
      <c r="M269" s="69" t="str">
        <f>IFERROR(VLOOKUP($A269,'Raw Data'!$A$2:$C$50,3,FALSE()),"Not in first 49 rows")</f>
        <v>Not in first 49 rows</v>
      </c>
    </row>
    <row r="270" spans="1:13" x14ac:dyDescent="0.3">
      <c r="A270" s="68" t="str">
        <f>'Raw Data'!A270</f>
        <v>EMP0269</v>
      </c>
      <c r="B270" s="17" t="str">
        <f>INDEX('Raw Data'!$B$2:$B$301, MATCH(A270,'Raw Data'!$A$2:$A$301,0))</f>
        <v>Anil Bhat</v>
      </c>
      <c r="C270" s="17" t="str">
        <f>VLOOKUP($A270,'Raw Data'!$A$2:$C$301,3,FALSE)</f>
        <v>Finance</v>
      </c>
      <c r="D270" s="17" t="str">
        <f>IF(ISBLANK('Raw Data'!F270),"Active","Resigned")</f>
        <v>Active</v>
      </c>
      <c r="E270" s="17">
        <f ca="1">DATEDIF('Raw Data'!E270,IF(ISBLANK('Raw Data'!F270),TODAY(),'Raw Data'!F270),"Y")</f>
        <v>6</v>
      </c>
      <c r="F270" s="17" t="str">
        <f>_xlfn.IFS('Raw Data'!D270&lt;30,"Under 30",'Raw Data'!D270&lt;=40,"30-40",'Raw Data'!D270&lt;=50,"41-50",TRUE(),"51+")</f>
        <v>Under 30</v>
      </c>
      <c r="G270" s="38">
        <f>'Raw Data'!G270*12</f>
        <v>544800</v>
      </c>
      <c r="H270" s="17" t="str">
        <f t="shared" si="12"/>
        <v>High</v>
      </c>
      <c r="I270" s="17">
        <f t="shared" si="13"/>
        <v>142</v>
      </c>
      <c r="J270" s="17" t="str">
        <f t="shared" si="14"/>
        <v>Fin-EMP0269</v>
      </c>
      <c r="K270" s="39">
        <f ca="1">EOMONTH('Raw Data'!E270,12*(YEAR(TODAY())-YEAR('Raw Data'!E270))+3)</f>
        <v>46295</v>
      </c>
      <c r="L270" s="17" t="str">
        <f ca="1">IF(AND('Raw Data'!H270&gt;=4,D270="Active",E270&lt;2),"Watch","")</f>
        <v/>
      </c>
      <c r="M270" s="69" t="str">
        <f>IFERROR(VLOOKUP($A270,'Raw Data'!$A$2:$C$50,3,FALSE()),"Not in first 49 rows")</f>
        <v>Not in first 49 rows</v>
      </c>
    </row>
    <row r="271" spans="1:13" x14ac:dyDescent="0.3">
      <c r="A271" s="68" t="str">
        <f>'Raw Data'!A271</f>
        <v>EMP0270</v>
      </c>
      <c r="B271" s="17" t="str">
        <f>INDEX('Raw Data'!$B$2:$B$301, MATCH(A271,'Raw Data'!$A$2:$A$301,0))</f>
        <v>Rahul Nair</v>
      </c>
      <c r="C271" s="17" t="str">
        <f>VLOOKUP($A271,'Raw Data'!$A$2:$C$301,3,FALSE)</f>
        <v>Sales</v>
      </c>
      <c r="D271" s="17" t="str">
        <f>IF(ISBLANK('Raw Data'!F271),"Active","Resigned")</f>
        <v>Resigned</v>
      </c>
      <c r="E271" s="17">
        <f ca="1">DATEDIF('Raw Data'!E271,IF(ISBLANK('Raw Data'!F271),TODAY(),'Raw Data'!F271),"Y")</f>
        <v>3</v>
      </c>
      <c r="F271" s="17" t="str">
        <f>_xlfn.IFS('Raw Data'!D271&lt;30,"Under 30",'Raw Data'!D271&lt;=40,"30-40",'Raw Data'!D271&lt;=50,"41-50",TRUE(),"51+")</f>
        <v>30-40</v>
      </c>
      <c r="G271" s="38">
        <f>'Raw Data'!G271*12</f>
        <v>610800</v>
      </c>
      <c r="H271" s="17" t="str">
        <f t="shared" si="12"/>
        <v>High</v>
      </c>
      <c r="I271" s="17">
        <f t="shared" si="13"/>
        <v>79</v>
      </c>
      <c r="J271" s="17" t="str">
        <f t="shared" si="14"/>
        <v>Sal-EMP0270</v>
      </c>
      <c r="K271" s="39">
        <f ca="1">EOMONTH('Raw Data'!E271,12*(YEAR(TODAY())-YEAR('Raw Data'!E271))+3)</f>
        <v>46234</v>
      </c>
      <c r="L271" s="17" t="str">
        <f ca="1">IF(AND('Raw Data'!H271&gt;=4,D271="Active",E271&lt;2),"Watch","")</f>
        <v/>
      </c>
      <c r="M271" s="69" t="str">
        <f>IFERROR(VLOOKUP($A271,'Raw Data'!$A$2:$C$50,3,FALSE()),"Not in first 49 rows")</f>
        <v>Not in first 49 rows</v>
      </c>
    </row>
    <row r="272" spans="1:13" x14ac:dyDescent="0.3">
      <c r="A272" s="68" t="str">
        <f>'Raw Data'!A272</f>
        <v>EMP0271</v>
      </c>
      <c r="B272" s="17" t="str">
        <f>INDEX('Raw Data'!$B$2:$B$301, MATCH(A272,'Raw Data'!$A$2:$A$301,0))</f>
        <v>Divya Sharma</v>
      </c>
      <c r="C272" s="17" t="str">
        <f>VLOOKUP($A272,'Raw Data'!$A$2:$C$301,3,FALSE)</f>
        <v>Finance</v>
      </c>
      <c r="D272" s="17" t="str">
        <f>IF(ISBLANK('Raw Data'!F272),"Active","Resigned")</f>
        <v>Resigned</v>
      </c>
      <c r="E272" s="17">
        <f ca="1">DATEDIF('Raw Data'!E272,IF(ISBLANK('Raw Data'!F272),TODAY(),'Raw Data'!F272),"Y")</f>
        <v>2</v>
      </c>
      <c r="F272" s="17" t="str">
        <f>_xlfn.IFS('Raw Data'!D272&lt;30,"Under 30",'Raw Data'!D272&lt;=40,"30-40",'Raw Data'!D272&lt;=50,"41-50",TRUE(),"51+")</f>
        <v>41-50</v>
      </c>
      <c r="G272" s="38">
        <f>'Raw Data'!G272*12</f>
        <v>525600</v>
      </c>
      <c r="H272" s="17" t="str">
        <f t="shared" si="12"/>
        <v>Mid</v>
      </c>
      <c r="I272" s="17">
        <f t="shared" si="13"/>
        <v>170</v>
      </c>
      <c r="J272" s="17" t="str">
        <f t="shared" si="14"/>
        <v>Fin-EMP0271</v>
      </c>
      <c r="K272" s="39">
        <f ca="1">EOMONTH('Raw Data'!E272,12*(YEAR(TODAY())-YEAR('Raw Data'!E272))+3)</f>
        <v>46418</v>
      </c>
      <c r="L272" s="17" t="str">
        <f ca="1">IF(AND('Raw Data'!H272&gt;=4,D272="Active",E272&lt;2),"Watch","")</f>
        <v/>
      </c>
      <c r="M272" s="69" t="str">
        <f>IFERROR(VLOOKUP($A272,'Raw Data'!$A$2:$C$50,3,FALSE()),"Not in first 49 rows")</f>
        <v>Not in first 49 rows</v>
      </c>
    </row>
    <row r="273" spans="1:13" x14ac:dyDescent="0.3">
      <c r="A273" s="68" t="str">
        <f>'Raw Data'!A273</f>
        <v>EMP0272</v>
      </c>
      <c r="B273" s="17" t="str">
        <f>INDEX('Raw Data'!$B$2:$B$301, MATCH(A273,'Raw Data'!$A$2:$A$301,0))</f>
        <v>Manoj Bhat</v>
      </c>
      <c r="C273" s="17" t="str">
        <f>VLOOKUP($A273,'Raw Data'!$A$2:$C$301,3,FALSE)</f>
        <v>Operations</v>
      </c>
      <c r="D273" s="17" t="str">
        <f>IF(ISBLANK('Raw Data'!F273),"Active","Resigned")</f>
        <v>Resigned</v>
      </c>
      <c r="E273" s="17">
        <f ca="1">DATEDIF('Raw Data'!E273,IF(ISBLANK('Raw Data'!F273),TODAY(),'Raw Data'!F273),"Y")</f>
        <v>2</v>
      </c>
      <c r="F273" s="17" t="str">
        <f>_xlfn.IFS('Raw Data'!D273&lt;30,"Under 30",'Raw Data'!D273&lt;=40,"30-40",'Raw Data'!D273&lt;=50,"41-50",TRUE(),"51+")</f>
        <v>41-50</v>
      </c>
      <c r="G273" s="38">
        <f>'Raw Data'!G273*12</f>
        <v>619200</v>
      </c>
      <c r="H273" s="17" t="str">
        <f t="shared" si="12"/>
        <v>High</v>
      </c>
      <c r="I273" s="17">
        <f t="shared" si="13"/>
        <v>73</v>
      </c>
      <c r="J273" s="17" t="str">
        <f t="shared" si="14"/>
        <v>Ope-EMP0272</v>
      </c>
      <c r="K273" s="39">
        <f ca="1">EOMONTH('Raw Data'!E273,12*(YEAR(TODAY())-YEAR('Raw Data'!E273))+3)</f>
        <v>46387</v>
      </c>
      <c r="L273" s="17" t="str">
        <f ca="1">IF(AND('Raw Data'!H273&gt;=4,D273="Active",E273&lt;2),"Watch","")</f>
        <v/>
      </c>
      <c r="M273" s="69" t="str">
        <f>IFERROR(VLOOKUP($A273,'Raw Data'!$A$2:$C$50,3,FALSE()),"Not in first 49 rows")</f>
        <v>Not in first 49 rows</v>
      </c>
    </row>
    <row r="274" spans="1:13" x14ac:dyDescent="0.3">
      <c r="A274" s="68" t="str">
        <f>'Raw Data'!A274</f>
        <v>EMP0273</v>
      </c>
      <c r="B274" s="17" t="str">
        <f>INDEX('Raw Data'!$B$2:$B$301, MATCH(A274,'Raw Data'!$A$2:$A$301,0))</f>
        <v>Myra Nair</v>
      </c>
      <c r="C274" s="17" t="str">
        <f>VLOOKUP($A274,'Raw Data'!$A$2:$C$301,3,FALSE)</f>
        <v>Marketing</v>
      </c>
      <c r="D274" s="17" t="str">
        <f>IF(ISBLANK('Raw Data'!F274),"Active","Resigned")</f>
        <v>Active</v>
      </c>
      <c r="E274" s="17">
        <f ca="1">DATEDIF('Raw Data'!E274,IF(ISBLANK('Raw Data'!F274),TODAY(),'Raw Data'!F274),"Y")</f>
        <v>8</v>
      </c>
      <c r="F274" s="17" t="str">
        <f>_xlfn.IFS('Raw Data'!D274&lt;30,"Under 30",'Raw Data'!D274&lt;=40,"30-40",'Raw Data'!D274&lt;=50,"41-50",TRUE(),"51+")</f>
        <v>51+</v>
      </c>
      <c r="G274" s="38">
        <f>'Raw Data'!G274*12</f>
        <v>644400</v>
      </c>
      <c r="H274" s="17" t="str">
        <f t="shared" si="12"/>
        <v>High</v>
      </c>
      <c r="I274" s="17">
        <f t="shared" si="13"/>
        <v>52</v>
      </c>
      <c r="J274" s="17" t="str">
        <f t="shared" si="14"/>
        <v>Mar-EMP0273</v>
      </c>
      <c r="K274" s="39">
        <f ca="1">EOMONTH('Raw Data'!E274,12*(YEAR(TODAY())-YEAR('Raw Data'!E274))+3)</f>
        <v>46387</v>
      </c>
      <c r="L274" s="17" t="str">
        <f ca="1">IF(AND('Raw Data'!H274&gt;=4,D274="Active",E274&lt;2),"Watch","")</f>
        <v/>
      </c>
      <c r="M274" s="69" t="str">
        <f>IFERROR(VLOOKUP($A274,'Raw Data'!$A$2:$C$50,3,FALSE()),"Not in first 49 rows")</f>
        <v>Not in first 49 rows</v>
      </c>
    </row>
    <row r="275" spans="1:13" x14ac:dyDescent="0.3">
      <c r="A275" s="68" t="str">
        <f>'Raw Data'!A275</f>
        <v>EMP0274</v>
      </c>
      <c r="B275" s="17" t="str">
        <f>INDEX('Raw Data'!$B$2:$B$301, MATCH(A275,'Raw Data'!$A$2:$A$301,0))</f>
        <v>Meera Chopra</v>
      </c>
      <c r="C275" s="17" t="str">
        <f>VLOOKUP($A275,'Raw Data'!$A$2:$C$301,3,FALSE)</f>
        <v>IT</v>
      </c>
      <c r="D275" s="17" t="str">
        <f>IF(ISBLANK('Raw Data'!F275),"Active","Resigned")</f>
        <v>Resigned</v>
      </c>
      <c r="E275" s="17">
        <f ca="1">DATEDIF('Raw Data'!E275,IF(ISBLANK('Raw Data'!F275),TODAY(),'Raw Data'!F275),"Y")</f>
        <v>1</v>
      </c>
      <c r="F275" s="17" t="str">
        <f>_xlfn.IFS('Raw Data'!D275&lt;30,"Under 30",'Raw Data'!D275&lt;=40,"30-40",'Raw Data'!D275&lt;=50,"41-50",TRUE(),"51+")</f>
        <v>30-40</v>
      </c>
      <c r="G275" s="38">
        <f>'Raw Data'!G275*12</f>
        <v>780000</v>
      </c>
      <c r="H275" s="17" t="str">
        <f t="shared" si="12"/>
        <v>Premium</v>
      </c>
      <c r="I275" s="17">
        <f t="shared" si="13"/>
        <v>6</v>
      </c>
      <c r="J275" s="17" t="str">
        <f t="shared" si="14"/>
        <v>IT-EMP0274</v>
      </c>
      <c r="K275" s="39">
        <f ca="1">EOMONTH('Raw Data'!E275,12*(YEAR(TODAY())-YEAR('Raw Data'!E275))+3)</f>
        <v>46326</v>
      </c>
      <c r="L275" s="17" t="str">
        <f ca="1">IF(AND('Raw Data'!H275&gt;=4,D275="Active",E275&lt;2),"Watch","")</f>
        <v/>
      </c>
      <c r="M275" s="69" t="str">
        <f>IFERROR(VLOOKUP($A275,'Raw Data'!$A$2:$C$50,3,FALSE()),"Not in first 49 rows")</f>
        <v>Not in first 49 rows</v>
      </c>
    </row>
    <row r="276" spans="1:13" x14ac:dyDescent="0.3">
      <c r="A276" s="68" t="str">
        <f>'Raw Data'!A276</f>
        <v>EMP0275</v>
      </c>
      <c r="B276" s="17" t="str">
        <f>INDEX('Raw Data'!$B$2:$B$301, MATCH(A276,'Raw Data'!$A$2:$A$301,0))</f>
        <v>Deepak Bhat</v>
      </c>
      <c r="C276" s="17" t="str">
        <f>VLOOKUP($A276,'Raw Data'!$A$2:$C$301,3,FALSE)</f>
        <v>Operations</v>
      </c>
      <c r="D276" s="17" t="str">
        <f>IF(ISBLANK('Raw Data'!F276),"Active","Resigned")</f>
        <v>Active</v>
      </c>
      <c r="E276" s="17">
        <f ca="1">DATEDIF('Raw Data'!E276,IF(ISBLANK('Raw Data'!F276),TODAY(),'Raw Data'!F276),"Y")</f>
        <v>9</v>
      </c>
      <c r="F276" s="17" t="str">
        <f>_xlfn.IFS('Raw Data'!D276&lt;30,"Under 30",'Raw Data'!D276&lt;=40,"30-40",'Raw Data'!D276&lt;=50,"41-50",TRUE(),"51+")</f>
        <v>41-50</v>
      </c>
      <c r="G276" s="38">
        <f>'Raw Data'!G276*12</f>
        <v>380400</v>
      </c>
      <c r="H276" s="17" t="str">
        <f t="shared" si="12"/>
        <v>Low</v>
      </c>
      <c r="I276" s="17">
        <f t="shared" si="13"/>
        <v>275</v>
      </c>
      <c r="J276" s="17" t="str">
        <f t="shared" si="14"/>
        <v>Ope-EMP0275</v>
      </c>
      <c r="K276" s="39">
        <f ca="1">EOMONTH('Raw Data'!E276,12*(YEAR(TODAY())-YEAR('Raw Data'!E276))+3)</f>
        <v>46446</v>
      </c>
      <c r="L276" s="17" t="str">
        <f ca="1">IF(AND('Raw Data'!H276&gt;=4,D276="Active",E276&lt;2),"Watch","")</f>
        <v/>
      </c>
      <c r="M276" s="69" t="str">
        <f>IFERROR(VLOOKUP($A276,'Raw Data'!$A$2:$C$50,3,FALSE()),"Not in first 49 rows")</f>
        <v>Not in first 49 rows</v>
      </c>
    </row>
    <row r="277" spans="1:13" x14ac:dyDescent="0.3">
      <c r="A277" s="68" t="str">
        <f>'Raw Data'!A277</f>
        <v>EMP0276</v>
      </c>
      <c r="B277" s="17" t="str">
        <f>INDEX('Raw Data'!$B$2:$B$301, MATCH(A277,'Raw Data'!$A$2:$A$301,0))</f>
        <v>Pooja Reddy</v>
      </c>
      <c r="C277" s="17" t="str">
        <f>VLOOKUP($A277,'Raw Data'!$A$2:$C$301,3,FALSE)</f>
        <v>IT</v>
      </c>
      <c r="D277" s="17" t="str">
        <f>IF(ISBLANK('Raw Data'!F277),"Active","Resigned")</f>
        <v>Resigned</v>
      </c>
      <c r="E277" s="17">
        <f ca="1">DATEDIF('Raw Data'!E277,IF(ISBLANK('Raw Data'!F277),TODAY(),'Raw Data'!F277),"Y")</f>
        <v>6</v>
      </c>
      <c r="F277" s="17" t="str">
        <f>_xlfn.IFS('Raw Data'!D277&lt;30,"Under 30",'Raw Data'!D277&lt;=40,"30-40",'Raw Data'!D277&lt;=50,"41-50",TRUE(),"51+")</f>
        <v>51+</v>
      </c>
      <c r="G277" s="38">
        <f>'Raw Data'!G277*12</f>
        <v>655200</v>
      </c>
      <c r="H277" s="17" t="str">
        <f t="shared" si="12"/>
        <v>High</v>
      </c>
      <c r="I277" s="17">
        <f t="shared" si="13"/>
        <v>45</v>
      </c>
      <c r="J277" s="17" t="str">
        <f t="shared" si="14"/>
        <v>IT-EMP0276</v>
      </c>
      <c r="K277" s="39">
        <f ca="1">EOMONTH('Raw Data'!E277,12*(YEAR(TODAY())-YEAR('Raw Data'!E277))+3)</f>
        <v>46387</v>
      </c>
      <c r="L277" s="17" t="str">
        <f ca="1">IF(AND('Raw Data'!H277&gt;=4,D277="Active",E277&lt;2),"Watch","")</f>
        <v/>
      </c>
      <c r="M277" s="69" t="str">
        <f>IFERROR(VLOOKUP($A277,'Raw Data'!$A$2:$C$50,3,FALSE()),"Not in first 49 rows")</f>
        <v>Not in first 49 rows</v>
      </c>
    </row>
    <row r="278" spans="1:13" x14ac:dyDescent="0.3">
      <c r="A278" s="68" t="str">
        <f>'Raw Data'!A278</f>
        <v>EMP0277</v>
      </c>
      <c r="B278" s="17" t="str">
        <f>INDEX('Raw Data'!$B$2:$B$301, MATCH(A278,'Raw Data'!$A$2:$A$301,0))</f>
        <v>Shreya Chopra</v>
      </c>
      <c r="C278" s="17" t="str">
        <f>VLOOKUP($A278,'Raw Data'!$A$2:$C$301,3,FALSE)</f>
        <v>Sales</v>
      </c>
      <c r="D278" s="17" t="str">
        <f>IF(ISBLANK('Raw Data'!F278),"Active","Resigned")</f>
        <v>Active</v>
      </c>
      <c r="E278" s="17">
        <f ca="1">DATEDIF('Raw Data'!E278,IF(ISBLANK('Raw Data'!F278),TODAY(),'Raw Data'!F278),"Y")</f>
        <v>5</v>
      </c>
      <c r="F278" s="17" t="str">
        <f>_xlfn.IFS('Raw Data'!D278&lt;30,"Under 30",'Raw Data'!D278&lt;=40,"30-40",'Raw Data'!D278&lt;=50,"41-50",TRUE(),"51+")</f>
        <v>51+</v>
      </c>
      <c r="G278" s="38">
        <f>'Raw Data'!G278*12</f>
        <v>466800</v>
      </c>
      <c r="H278" s="17" t="str">
        <f t="shared" si="12"/>
        <v>Mid</v>
      </c>
      <c r="I278" s="17">
        <f t="shared" si="13"/>
        <v>210</v>
      </c>
      <c r="J278" s="17" t="str">
        <f t="shared" si="14"/>
        <v>Sal-EMP0277</v>
      </c>
      <c r="K278" s="39">
        <f ca="1">EOMONTH('Raw Data'!E278,12*(YEAR(TODAY())-YEAR('Raw Data'!E278))+3)</f>
        <v>46477</v>
      </c>
      <c r="L278" s="17" t="str">
        <f ca="1">IF(AND('Raw Data'!H278&gt;=4,D278="Active",E278&lt;2),"Watch","")</f>
        <v/>
      </c>
      <c r="M278" s="69" t="str">
        <f>IFERROR(VLOOKUP($A278,'Raw Data'!$A$2:$C$50,3,FALSE()),"Not in first 49 rows")</f>
        <v>Not in first 49 rows</v>
      </c>
    </row>
    <row r="279" spans="1:13" x14ac:dyDescent="0.3">
      <c r="A279" s="68" t="str">
        <f>'Raw Data'!A279</f>
        <v>EMP0278</v>
      </c>
      <c r="B279" s="17" t="str">
        <f>INDEX('Raw Data'!$B$2:$B$301, MATCH(A279,'Raw Data'!$A$2:$A$301,0))</f>
        <v>Rajesh Menon</v>
      </c>
      <c r="C279" s="17" t="str">
        <f>VLOOKUP($A279,'Raw Data'!$A$2:$C$301,3,FALSE)</f>
        <v>Sales</v>
      </c>
      <c r="D279" s="17" t="str">
        <f>IF(ISBLANK('Raw Data'!F279),"Active","Resigned")</f>
        <v>Active</v>
      </c>
      <c r="E279" s="17">
        <f ca="1">DATEDIF('Raw Data'!E279,IF(ISBLANK('Raw Data'!F279),TODAY(),'Raw Data'!F279),"Y")</f>
        <v>5</v>
      </c>
      <c r="F279" s="17" t="str">
        <f>_xlfn.IFS('Raw Data'!D279&lt;30,"Under 30",'Raw Data'!D279&lt;=40,"30-40",'Raw Data'!D279&lt;=50,"41-50",TRUE(),"51+")</f>
        <v>51+</v>
      </c>
      <c r="G279" s="38">
        <f>'Raw Data'!G279*12</f>
        <v>424800</v>
      </c>
      <c r="H279" s="17" t="str">
        <f t="shared" si="12"/>
        <v>Mid</v>
      </c>
      <c r="I279" s="17">
        <f t="shared" si="13"/>
        <v>246</v>
      </c>
      <c r="J279" s="17" t="str">
        <f t="shared" si="14"/>
        <v>Sal-EMP0278</v>
      </c>
      <c r="K279" s="39">
        <f ca="1">EOMONTH('Raw Data'!E279,12*(YEAR(TODAY())-YEAR('Raw Data'!E279))+3)</f>
        <v>46203</v>
      </c>
      <c r="L279" s="17" t="str">
        <f ca="1">IF(AND('Raw Data'!H279&gt;=4,D279="Active",E279&lt;2),"Watch","")</f>
        <v/>
      </c>
      <c r="M279" s="69" t="str">
        <f>IFERROR(VLOOKUP($A279,'Raw Data'!$A$2:$C$50,3,FALSE()),"Not in first 49 rows")</f>
        <v>Not in first 49 rows</v>
      </c>
    </row>
    <row r="280" spans="1:13" x14ac:dyDescent="0.3">
      <c r="A280" s="68" t="str">
        <f>'Raw Data'!A280</f>
        <v>EMP0279</v>
      </c>
      <c r="B280" s="17" t="str">
        <f>INDEX('Raw Data'!$B$2:$B$301, MATCH(A280,'Raw Data'!$A$2:$A$301,0))</f>
        <v>Kiara Sharma</v>
      </c>
      <c r="C280" s="17" t="str">
        <f>VLOOKUP($A280,'Raw Data'!$A$2:$C$301,3,FALSE)</f>
        <v>Operations</v>
      </c>
      <c r="D280" s="17" t="str">
        <f>IF(ISBLANK('Raw Data'!F280),"Active","Resigned")</f>
        <v>Resigned</v>
      </c>
      <c r="E280" s="17">
        <f ca="1">DATEDIF('Raw Data'!E280,IF(ISBLANK('Raw Data'!F280),TODAY(),'Raw Data'!F280),"Y")</f>
        <v>2</v>
      </c>
      <c r="F280" s="17" t="str">
        <f>_xlfn.IFS('Raw Data'!D280&lt;30,"Under 30",'Raw Data'!D280&lt;=40,"30-40",'Raw Data'!D280&lt;=50,"41-50",TRUE(),"51+")</f>
        <v>30-40</v>
      </c>
      <c r="G280" s="38">
        <f>'Raw Data'!G280*12</f>
        <v>447600</v>
      </c>
      <c r="H280" s="17" t="str">
        <f t="shared" si="12"/>
        <v>Mid</v>
      </c>
      <c r="I280" s="17">
        <f t="shared" si="13"/>
        <v>226</v>
      </c>
      <c r="J280" s="17" t="str">
        <f t="shared" si="14"/>
        <v>Ope-EMP0279</v>
      </c>
      <c r="K280" s="39">
        <f ca="1">EOMONTH('Raw Data'!E280,12*(YEAR(TODAY())-YEAR('Raw Data'!E280))+3)</f>
        <v>46295</v>
      </c>
      <c r="L280" s="17" t="str">
        <f ca="1">IF(AND('Raw Data'!H280&gt;=4,D280="Active",E280&lt;2),"Watch","")</f>
        <v/>
      </c>
      <c r="M280" s="69" t="str">
        <f>IFERROR(VLOOKUP($A280,'Raw Data'!$A$2:$C$50,3,FALSE()),"Not in first 49 rows")</f>
        <v>Not in first 49 rows</v>
      </c>
    </row>
    <row r="281" spans="1:13" x14ac:dyDescent="0.3">
      <c r="A281" s="68" t="str">
        <f>'Raw Data'!A281</f>
        <v>EMP0280</v>
      </c>
      <c r="B281" s="17" t="str">
        <f>INDEX('Raw Data'!$B$2:$B$301, MATCH(A281,'Raw Data'!$A$2:$A$301,0))</f>
        <v>Vihaan Gupta</v>
      </c>
      <c r="C281" s="17" t="str">
        <f>VLOOKUP($A281,'Raw Data'!$A$2:$C$301,3,FALSE)</f>
        <v>HR</v>
      </c>
      <c r="D281" s="17" t="str">
        <f>IF(ISBLANK('Raw Data'!F281),"Active","Resigned")</f>
        <v>Active</v>
      </c>
      <c r="E281" s="17">
        <f ca="1">DATEDIF('Raw Data'!E281,IF(ISBLANK('Raw Data'!F281),TODAY(),'Raw Data'!F281),"Y")</f>
        <v>7</v>
      </c>
      <c r="F281" s="17" t="str">
        <f>_xlfn.IFS('Raw Data'!D281&lt;30,"Under 30",'Raw Data'!D281&lt;=40,"30-40",'Raw Data'!D281&lt;=50,"41-50",TRUE(),"51+")</f>
        <v>Under 30</v>
      </c>
      <c r="G281" s="38">
        <f>'Raw Data'!G281*12</f>
        <v>534000</v>
      </c>
      <c r="H281" s="17" t="str">
        <f t="shared" si="12"/>
        <v>Mid</v>
      </c>
      <c r="I281" s="17">
        <f t="shared" si="13"/>
        <v>159</v>
      </c>
      <c r="J281" s="17" t="str">
        <f t="shared" si="14"/>
        <v>HR-EMP0280</v>
      </c>
      <c r="K281" s="39">
        <f ca="1">EOMONTH('Raw Data'!E281,12*(YEAR(TODAY())-YEAR('Raw Data'!E281))+3)</f>
        <v>46203</v>
      </c>
      <c r="L281" s="17" t="str">
        <f ca="1">IF(AND('Raw Data'!H281&gt;=4,D281="Active",E281&lt;2),"Watch","")</f>
        <v/>
      </c>
      <c r="M281" s="69" t="str">
        <f>IFERROR(VLOOKUP($A281,'Raw Data'!$A$2:$C$50,3,FALSE()),"Not in first 49 rows")</f>
        <v>Not in first 49 rows</v>
      </c>
    </row>
    <row r="282" spans="1:13" x14ac:dyDescent="0.3">
      <c r="A282" s="68" t="str">
        <f>'Raw Data'!A282</f>
        <v>EMP0281</v>
      </c>
      <c r="B282" s="17" t="str">
        <f>INDEX('Raw Data'!$B$2:$B$301, MATCH(A282,'Raw Data'!$A$2:$A$301,0))</f>
        <v>Suresh Joshi</v>
      </c>
      <c r="C282" s="17" t="str">
        <f>VLOOKUP($A282,'Raw Data'!$A$2:$C$301,3,FALSE)</f>
        <v>HR</v>
      </c>
      <c r="D282" s="17" t="str">
        <f>IF(ISBLANK('Raw Data'!F282),"Active","Resigned")</f>
        <v>Active</v>
      </c>
      <c r="E282" s="17">
        <f ca="1">DATEDIF('Raw Data'!E282,IF(ISBLANK('Raw Data'!F282),TODAY(),'Raw Data'!F282),"Y")</f>
        <v>6</v>
      </c>
      <c r="F282" s="17" t="str">
        <f>_xlfn.IFS('Raw Data'!D282&lt;30,"Under 30",'Raw Data'!D282&lt;=40,"30-40",'Raw Data'!D282&lt;=50,"41-50",TRUE(),"51+")</f>
        <v>41-50</v>
      </c>
      <c r="G282" s="38">
        <f>'Raw Data'!G282*12</f>
        <v>508800</v>
      </c>
      <c r="H282" s="17" t="str">
        <f t="shared" si="12"/>
        <v>Mid</v>
      </c>
      <c r="I282" s="17">
        <f t="shared" si="13"/>
        <v>180</v>
      </c>
      <c r="J282" s="17" t="str">
        <f t="shared" si="14"/>
        <v>HR-EMP0281</v>
      </c>
      <c r="K282" s="39">
        <f ca="1">EOMONTH('Raw Data'!E282,12*(YEAR(TODAY())-YEAR('Raw Data'!E282))+3)</f>
        <v>46203</v>
      </c>
      <c r="L282" s="17" t="str">
        <f ca="1">IF(AND('Raw Data'!H282&gt;=4,D282="Active",E282&lt;2),"Watch","")</f>
        <v/>
      </c>
      <c r="M282" s="69" t="str">
        <f>IFERROR(VLOOKUP($A282,'Raw Data'!$A$2:$C$50,3,FALSE()),"Not in first 49 rows")</f>
        <v>Not in first 49 rows</v>
      </c>
    </row>
    <row r="283" spans="1:13" x14ac:dyDescent="0.3">
      <c r="A283" s="68" t="str">
        <f>'Raw Data'!A283</f>
        <v>EMP0282</v>
      </c>
      <c r="B283" s="17" t="str">
        <f>INDEX('Raw Data'!$B$2:$B$301, MATCH(A283,'Raw Data'!$A$2:$A$301,0))</f>
        <v>Sunita Singh</v>
      </c>
      <c r="C283" s="17" t="str">
        <f>VLOOKUP($A283,'Raw Data'!$A$2:$C$301,3,FALSE)</f>
        <v>Operations</v>
      </c>
      <c r="D283" s="17" t="str">
        <f>IF(ISBLANK('Raw Data'!F283),"Active","Resigned")</f>
        <v>Resigned</v>
      </c>
      <c r="E283" s="17">
        <f ca="1">DATEDIF('Raw Data'!E283,IF(ISBLANK('Raw Data'!F283),TODAY(),'Raw Data'!F283),"Y")</f>
        <v>6</v>
      </c>
      <c r="F283" s="17" t="str">
        <f>_xlfn.IFS('Raw Data'!D283&lt;30,"Under 30",'Raw Data'!D283&lt;=40,"30-40",'Raw Data'!D283&lt;=50,"41-50",TRUE(),"51+")</f>
        <v>41-50</v>
      </c>
      <c r="G283" s="38">
        <f>'Raw Data'!G283*12</f>
        <v>460800</v>
      </c>
      <c r="H283" s="17" t="str">
        <f t="shared" si="12"/>
        <v>Mid</v>
      </c>
      <c r="I283" s="17">
        <f t="shared" si="13"/>
        <v>218</v>
      </c>
      <c r="J283" s="17" t="str">
        <f t="shared" si="14"/>
        <v>Ope-EMP0282</v>
      </c>
      <c r="K283" s="39">
        <f ca="1">EOMONTH('Raw Data'!E283,12*(YEAR(TODAY())-YEAR('Raw Data'!E283))+3)</f>
        <v>46234</v>
      </c>
      <c r="L283" s="17" t="str">
        <f ca="1">IF(AND('Raw Data'!H283&gt;=4,D283="Active",E283&lt;2),"Watch","")</f>
        <v/>
      </c>
      <c r="M283" s="69" t="str">
        <f>IFERROR(VLOOKUP($A283,'Raw Data'!$A$2:$C$50,3,FALSE()),"Not in first 49 rows")</f>
        <v>Not in first 49 rows</v>
      </c>
    </row>
    <row r="284" spans="1:13" x14ac:dyDescent="0.3">
      <c r="A284" s="68" t="str">
        <f>'Raw Data'!A284</f>
        <v>EMP0283</v>
      </c>
      <c r="B284" s="17" t="str">
        <f>INDEX('Raw Data'!$B$2:$B$301, MATCH(A284,'Raw Data'!$A$2:$A$301,0))</f>
        <v>Myra Sharma</v>
      </c>
      <c r="C284" s="17" t="str">
        <f>VLOOKUP($A284,'Raw Data'!$A$2:$C$301,3,FALSE)</f>
        <v>Sales</v>
      </c>
      <c r="D284" s="17" t="str">
        <f>IF(ISBLANK('Raw Data'!F284),"Active","Resigned")</f>
        <v>Active</v>
      </c>
      <c r="E284" s="17">
        <f ca="1">DATEDIF('Raw Data'!E284,IF(ISBLANK('Raw Data'!F284),TODAY(),'Raw Data'!F284),"Y")</f>
        <v>5</v>
      </c>
      <c r="F284" s="17" t="str">
        <f>_xlfn.IFS('Raw Data'!D284&lt;30,"Under 30",'Raw Data'!D284&lt;=40,"30-40",'Raw Data'!D284&lt;=50,"41-50",TRUE(),"51+")</f>
        <v>41-50</v>
      </c>
      <c r="G284" s="38">
        <f>'Raw Data'!G284*12</f>
        <v>493200</v>
      </c>
      <c r="H284" s="17" t="str">
        <f t="shared" si="12"/>
        <v>Mid</v>
      </c>
      <c r="I284" s="17">
        <f t="shared" si="13"/>
        <v>196</v>
      </c>
      <c r="J284" s="17" t="str">
        <f t="shared" si="14"/>
        <v>Sal-EMP0283</v>
      </c>
      <c r="K284" s="39">
        <f ca="1">EOMONTH('Raw Data'!E284,12*(YEAR(TODAY())-YEAR('Raw Data'!E284))+3)</f>
        <v>46203</v>
      </c>
      <c r="L284" s="17" t="str">
        <f ca="1">IF(AND('Raw Data'!H284&gt;=4,D284="Active",E284&lt;2),"Watch","")</f>
        <v/>
      </c>
      <c r="M284" s="69" t="str">
        <f>IFERROR(VLOOKUP($A284,'Raw Data'!$A$2:$C$50,3,FALSE()),"Not in first 49 rows")</f>
        <v>Not in first 49 rows</v>
      </c>
    </row>
    <row r="285" spans="1:13" x14ac:dyDescent="0.3">
      <c r="A285" s="68" t="str">
        <f>'Raw Data'!A285</f>
        <v>EMP0284</v>
      </c>
      <c r="B285" s="17" t="str">
        <f>INDEX('Raw Data'!$B$2:$B$301, MATCH(A285,'Raw Data'!$A$2:$A$301,0))</f>
        <v>Myra Nair</v>
      </c>
      <c r="C285" s="17" t="str">
        <f>VLOOKUP($A285,'Raw Data'!$A$2:$C$301,3,FALSE)</f>
        <v>HR</v>
      </c>
      <c r="D285" s="17" t="str">
        <f>IF(ISBLANK('Raw Data'!F285),"Active","Resigned")</f>
        <v>Resigned</v>
      </c>
      <c r="E285" s="17">
        <f ca="1">DATEDIF('Raw Data'!E285,IF(ISBLANK('Raw Data'!F285),TODAY(),'Raw Data'!F285),"Y")</f>
        <v>8</v>
      </c>
      <c r="F285" s="17" t="str">
        <f>_xlfn.IFS('Raw Data'!D285&lt;30,"Under 30",'Raw Data'!D285&lt;=40,"30-40",'Raw Data'!D285&lt;=50,"41-50",TRUE(),"51+")</f>
        <v>41-50</v>
      </c>
      <c r="G285" s="38">
        <f>'Raw Data'!G285*12</f>
        <v>532800</v>
      </c>
      <c r="H285" s="17" t="str">
        <f t="shared" si="12"/>
        <v>Mid</v>
      </c>
      <c r="I285" s="17">
        <f t="shared" si="13"/>
        <v>160</v>
      </c>
      <c r="J285" s="17" t="str">
        <f t="shared" si="14"/>
        <v>HR-EMP0284</v>
      </c>
      <c r="K285" s="39">
        <f ca="1">EOMONTH('Raw Data'!E285,12*(YEAR(TODAY())-YEAR('Raw Data'!E285))+3)</f>
        <v>46387</v>
      </c>
      <c r="L285" s="17" t="str">
        <f ca="1">IF(AND('Raw Data'!H285&gt;=4,D285="Active",E285&lt;2),"Watch","")</f>
        <v/>
      </c>
      <c r="M285" s="69" t="str">
        <f>IFERROR(VLOOKUP($A285,'Raw Data'!$A$2:$C$50,3,FALSE()),"Not in first 49 rows")</f>
        <v>Not in first 49 rows</v>
      </c>
    </row>
    <row r="286" spans="1:13" x14ac:dyDescent="0.3">
      <c r="A286" s="68" t="str">
        <f>'Raw Data'!A286</f>
        <v>EMP0285</v>
      </c>
      <c r="B286" s="17" t="str">
        <f>INDEX('Raw Data'!$B$2:$B$301, MATCH(A286,'Raw Data'!$A$2:$A$301,0))</f>
        <v>Suresh Agarwal</v>
      </c>
      <c r="C286" s="17" t="str">
        <f>VLOOKUP($A286,'Raw Data'!$A$2:$C$301,3,FALSE)</f>
        <v>Sales</v>
      </c>
      <c r="D286" s="17" t="str">
        <f>IF(ISBLANK('Raw Data'!F286),"Active","Resigned")</f>
        <v>Resigned</v>
      </c>
      <c r="E286" s="17">
        <f ca="1">DATEDIF('Raw Data'!E286,IF(ISBLANK('Raw Data'!F286),TODAY(),'Raw Data'!F286),"Y")</f>
        <v>6</v>
      </c>
      <c r="F286" s="17" t="str">
        <f>_xlfn.IFS('Raw Data'!D286&lt;30,"Under 30",'Raw Data'!D286&lt;=40,"30-40",'Raw Data'!D286&lt;=50,"41-50",TRUE(),"51+")</f>
        <v>30-40</v>
      </c>
      <c r="G286" s="38">
        <f>'Raw Data'!G286*12</f>
        <v>345600</v>
      </c>
      <c r="H286" s="17" t="str">
        <f t="shared" si="12"/>
        <v>Low</v>
      </c>
      <c r="I286" s="17">
        <f t="shared" si="13"/>
        <v>295</v>
      </c>
      <c r="J286" s="17" t="str">
        <f t="shared" si="14"/>
        <v>Sal-EMP0285</v>
      </c>
      <c r="K286" s="39">
        <f ca="1">EOMONTH('Raw Data'!E286,12*(YEAR(TODAY())-YEAR('Raw Data'!E286))+3)</f>
        <v>46234</v>
      </c>
      <c r="L286" s="17" t="str">
        <f ca="1">IF(AND('Raw Data'!H286&gt;=4,D286="Active",E286&lt;2),"Watch","")</f>
        <v/>
      </c>
      <c r="M286" s="69" t="str">
        <f>IFERROR(VLOOKUP($A286,'Raw Data'!$A$2:$C$50,3,FALSE()),"Not in first 49 rows")</f>
        <v>Not in first 49 rows</v>
      </c>
    </row>
    <row r="287" spans="1:13" x14ac:dyDescent="0.3">
      <c r="A287" s="68" t="str">
        <f>'Raw Data'!A287</f>
        <v>EMP0286</v>
      </c>
      <c r="B287" s="17" t="str">
        <f>INDEX('Raw Data'!$B$2:$B$301, MATCH(A287,'Raw Data'!$A$2:$A$301,0))</f>
        <v>Vihaan Nair</v>
      </c>
      <c r="C287" s="17" t="str">
        <f>VLOOKUP($A287,'Raw Data'!$A$2:$C$301,3,FALSE)</f>
        <v>Operations</v>
      </c>
      <c r="D287" s="17" t="str">
        <f>IF(ISBLANK('Raw Data'!F287),"Active","Resigned")</f>
        <v>Active</v>
      </c>
      <c r="E287" s="17">
        <f ca="1">DATEDIF('Raw Data'!E287,IF(ISBLANK('Raw Data'!F287),TODAY(),'Raw Data'!F287),"Y")</f>
        <v>6</v>
      </c>
      <c r="F287" s="17" t="str">
        <f>_xlfn.IFS('Raw Data'!D287&lt;30,"Under 30",'Raw Data'!D287&lt;=40,"30-40",'Raw Data'!D287&lt;=50,"41-50",TRUE(),"51+")</f>
        <v>Under 30</v>
      </c>
      <c r="G287" s="38">
        <f>'Raw Data'!G287*12</f>
        <v>504000</v>
      </c>
      <c r="H287" s="17" t="str">
        <f t="shared" si="12"/>
        <v>Mid</v>
      </c>
      <c r="I287" s="17">
        <f t="shared" si="13"/>
        <v>184</v>
      </c>
      <c r="J287" s="17" t="str">
        <f t="shared" si="14"/>
        <v>Ope-EMP0286</v>
      </c>
      <c r="K287" s="39">
        <f ca="1">EOMONTH('Raw Data'!E287,12*(YEAR(TODAY())-YEAR('Raw Data'!E287))+3)</f>
        <v>46326</v>
      </c>
      <c r="L287" s="17" t="str">
        <f ca="1">IF(AND('Raw Data'!H287&gt;=4,D287="Active",E287&lt;2),"Watch","")</f>
        <v/>
      </c>
      <c r="M287" s="69" t="str">
        <f>IFERROR(VLOOKUP($A287,'Raw Data'!$A$2:$C$50,3,FALSE()),"Not in first 49 rows")</f>
        <v>Not in first 49 rows</v>
      </c>
    </row>
    <row r="288" spans="1:13" x14ac:dyDescent="0.3">
      <c r="A288" s="68" t="str">
        <f>'Raw Data'!A288</f>
        <v>EMP0287</v>
      </c>
      <c r="B288" s="17" t="str">
        <f>INDEX('Raw Data'!$B$2:$B$301, MATCH(A288,'Raw Data'!$A$2:$A$301,0))</f>
        <v>Vihaan Singh</v>
      </c>
      <c r="C288" s="17" t="str">
        <f>VLOOKUP($A288,'Raw Data'!$A$2:$C$301,3,FALSE)</f>
        <v>IT</v>
      </c>
      <c r="D288" s="17" t="str">
        <f>IF(ISBLANK('Raw Data'!F288),"Active","Resigned")</f>
        <v>Active</v>
      </c>
      <c r="E288" s="17">
        <f ca="1">DATEDIF('Raw Data'!E288,IF(ISBLANK('Raw Data'!F288),TODAY(),'Raw Data'!F288),"Y")</f>
        <v>7</v>
      </c>
      <c r="F288" s="17" t="str">
        <f>_xlfn.IFS('Raw Data'!D288&lt;30,"Under 30",'Raw Data'!D288&lt;=40,"30-40",'Raw Data'!D288&lt;=50,"41-50",TRUE(),"51+")</f>
        <v>30-40</v>
      </c>
      <c r="G288" s="38">
        <f>'Raw Data'!G288*12</f>
        <v>739200</v>
      </c>
      <c r="H288" s="17" t="str">
        <f t="shared" si="12"/>
        <v>Premium</v>
      </c>
      <c r="I288" s="17">
        <f t="shared" si="13"/>
        <v>20</v>
      </c>
      <c r="J288" s="17" t="str">
        <f t="shared" si="14"/>
        <v>IT-EMP0287</v>
      </c>
      <c r="K288" s="39">
        <f ca="1">EOMONTH('Raw Data'!E288,12*(YEAR(TODAY())-YEAR('Raw Data'!E288))+3)</f>
        <v>46356</v>
      </c>
      <c r="L288" s="17" t="str">
        <f ca="1">IF(AND('Raw Data'!H288&gt;=4,D288="Active",E288&lt;2),"Watch","")</f>
        <v/>
      </c>
      <c r="M288" s="69" t="str">
        <f>IFERROR(VLOOKUP($A288,'Raw Data'!$A$2:$C$50,3,FALSE()),"Not in first 49 rows")</f>
        <v>Not in first 49 rows</v>
      </c>
    </row>
    <row r="289" spans="1:13" x14ac:dyDescent="0.3">
      <c r="A289" s="68" t="str">
        <f>'Raw Data'!A289</f>
        <v>EMP0288</v>
      </c>
      <c r="B289" s="17" t="str">
        <f>INDEX('Raw Data'!$B$2:$B$301, MATCH(A289,'Raw Data'!$A$2:$A$301,0))</f>
        <v>Swati Mehta</v>
      </c>
      <c r="C289" s="17" t="str">
        <f>VLOOKUP($A289,'Raw Data'!$A$2:$C$301,3,FALSE)</f>
        <v>Marketing</v>
      </c>
      <c r="D289" s="17" t="str">
        <f>IF(ISBLANK('Raw Data'!F289),"Active","Resigned")</f>
        <v>Active</v>
      </c>
      <c r="E289" s="17">
        <f ca="1">DATEDIF('Raw Data'!E289,IF(ISBLANK('Raw Data'!F289),TODAY(),'Raw Data'!F289),"Y")</f>
        <v>8</v>
      </c>
      <c r="F289" s="17" t="str">
        <f>_xlfn.IFS('Raw Data'!D289&lt;30,"Under 30",'Raw Data'!D289&lt;=40,"30-40",'Raw Data'!D289&lt;=50,"41-50",TRUE(),"51+")</f>
        <v>41-50</v>
      </c>
      <c r="G289" s="38">
        <f>'Raw Data'!G289*12</f>
        <v>510000</v>
      </c>
      <c r="H289" s="17" t="str">
        <f t="shared" si="12"/>
        <v>Mid</v>
      </c>
      <c r="I289" s="17">
        <f t="shared" si="13"/>
        <v>177</v>
      </c>
      <c r="J289" s="17" t="str">
        <f t="shared" si="14"/>
        <v>Mar-EMP0288</v>
      </c>
      <c r="K289" s="39">
        <f ca="1">EOMONTH('Raw Data'!E289,12*(YEAR(TODAY())-YEAR('Raw Data'!E289))+3)</f>
        <v>46356</v>
      </c>
      <c r="L289" s="17" t="str">
        <f ca="1">IF(AND('Raw Data'!H289&gt;=4,D289="Active",E289&lt;2),"Watch","")</f>
        <v/>
      </c>
      <c r="M289" s="69" t="str">
        <f>IFERROR(VLOOKUP($A289,'Raw Data'!$A$2:$C$50,3,FALSE()),"Not in first 49 rows")</f>
        <v>Not in first 49 rows</v>
      </c>
    </row>
    <row r="290" spans="1:13" x14ac:dyDescent="0.3">
      <c r="A290" s="68" t="str">
        <f>'Raw Data'!A290</f>
        <v>EMP0289</v>
      </c>
      <c r="B290" s="17" t="str">
        <f>INDEX('Raw Data'!$B$2:$B$301, MATCH(A290,'Raw Data'!$A$2:$A$301,0))</f>
        <v>Anika Verma</v>
      </c>
      <c r="C290" s="17" t="str">
        <f>VLOOKUP($A290,'Raw Data'!$A$2:$C$301,3,FALSE)</f>
        <v>IT</v>
      </c>
      <c r="D290" s="17" t="str">
        <f>IF(ISBLANK('Raw Data'!F290),"Active","Resigned")</f>
        <v>Active</v>
      </c>
      <c r="E290" s="17">
        <f ca="1">DATEDIF('Raw Data'!E290,IF(ISBLANK('Raw Data'!F290),TODAY(),'Raw Data'!F290),"Y")</f>
        <v>3</v>
      </c>
      <c r="F290" s="17" t="str">
        <f>_xlfn.IFS('Raw Data'!D290&lt;30,"Under 30",'Raw Data'!D290&lt;=40,"30-40",'Raw Data'!D290&lt;=50,"41-50",TRUE(),"51+")</f>
        <v>30-40</v>
      </c>
      <c r="G290" s="38">
        <f>'Raw Data'!G290*12</f>
        <v>687600</v>
      </c>
      <c r="H290" s="17" t="str">
        <f t="shared" si="12"/>
        <v>Premium</v>
      </c>
      <c r="I290" s="17">
        <f t="shared" si="13"/>
        <v>33</v>
      </c>
      <c r="J290" s="17" t="str">
        <f t="shared" si="14"/>
        <v>IT-EMP0289</v>
      </c>
      <c r="K290" s="39">
        <f ca="1">EOMONTH('Raw Data'!E290,12*(YEAR(TODAY())-YEAR('Raw Data'!E290))+3)</f>
        <v>46142</v>
      </c>
      <c r="L290" s="17" t="str">
        <f ca="1">IF(AND('Raw Data'!H290&gt;=4,D290="Active",E290&lt;2),"Watch","")</f>
        <v/>
      </c>
      <c r="M290" s="69" t="str">
        <f>IFERROR(VLOOKUP($A290,'Raw Data'!$A$2:$C$50,3,FALSE()),"Not in first 49 rows")</f>
        <v>Not in first 49 rows</v>
      </c>
    </row>
    <row r="291" spans="1:13" x14ac:dyDescent="0.3">
      <c r="A291" s="68" t="str">
        <f>'Raw Data'!A291</f>
        <v>EMP0290</v>
      </c>
      <c r="B291" s="17" t="str">
        <f>INDEX('Raw Data'!$B$2:$B$301, MATCH(A291,'Raw Data'!$A$2:$A$301,0))</f>
        <v>Sanjay Desai</v>
      </c>
      <c r="C291" s="17" t="str">
        <f>VLOOKUP($A291,'Raw Data'!$A$2:$C$301,3,FALSE)</f>
        <v>IT</v>
      </c>
      <c r="D291" s="17" t="str">
        <f>IF(ISBLANK('Raw Data'!F291),"Active","Resigned")</f>
        <v>Active</v>
      </c>
      <c r="E291" s="17">
        <f ca="1">DATEDIF('Raw Data'!E291,IF(ISBLANK('Raw Data'!F291),TODAY(),'Raw Data'!F291),"Y")</f>
        <v>2</v>
      </c>
      <c r="F291" s="17" t="str">
        <f>_xlfn.IFS('Raw Data'!D291&lt;30,"Under 30",'Raw Data'!D291&lt;=40,"30-40",'Raw Data'!D291&lt;=50,"41-50",TRUE(),"51+")</f>
        <v>41-50</v>
      </c>
      <c r="G291" s="38">
        <f>'Raw Data'!G291*12</f>
        <v>571200</v>
      </c>
      <c r="H291" s="17" t="str">
        <f t="shared" si="12"/>
        <v>High</v>
      </c>
      <c r="I291" s="17">
        <f t="shared" si="13"/>
        <v>117</v>
      </c>
      <c r="J291" s="17" t="str">
        <f t="shared" si="14"/>
        <v>IT-EMP0290</v>
      </c>
      <c r="K291" s="39">
        <f ca="1">EOMONTH('Raw Data'!E291,12*(YEAR(TODAY())-YEAR('Raw Data'!E291))+3)</f>
        <v>46418</v>
      </c>
      <c r="L291" s="17" t="str">
        <f ca="1">IF(AND('Raw Data'!H291&gt;=4,D291="Active",E291&lt;2),"Watch","")</f>
        <v/>
      </c>
      <c r="M291" s="69" t="str">
        <f>IFERROR(VLOOKUP($A291,'Raw Data'!$A$2:$C$50,3,FALSE()),"Not in first 49 rows")</f>
        <v>Not in first 49 rows</v>
      </c>
    </row>
    <row r="292" spans="1:13" x14ac:dyDescent="0.3">
      <c r="A292" s="68" t="str">
        <f>'Raw Data'!A292</f>
        <v>EMP0291</v>
      </c>
      <c r="B292" s="17" t="str">
        <f>INDEX('Raw Data'!$B$2:$B$301, MATCH(A292,'Raw Data'!$A$2:$A$301,0))</f>
        <v>Sunita Chopra</v>
      </c>
      <c r="C292" s="17" t="str">
        <f>VLOOKUP($A292,'Raw Data'!$A$2:$C$301,3,FALSE)</f>
        <v>Marketing</v>
      </c>
      <c r="D292" s="17" t="str">
        <f>IF(ISBLANK('Raw Data'!F292),"Active","Resigned")</f>
        <v>Active</v>
      </c>
      <c r="E292" s="17">
        <f ca="1">DATEDIF('Raw Data'!E292,IF(ISBLANK('Raw Data'!F292),TODAY(),'Raw Data'!F292),"Y")</f>
        <v>7</v>
      </c>
      <c r="F292" s="17" t="str">
        <f>_xlfn.IFS('Raw Data'!D292&lt;30,"Under 30",'Raw Data'!D292&lt;=40,"30-40",'Raw Data'!D292&lt;=50,"41-50",TRUE(),"51+")</f>
        <v>30-40</v>
      </c>
      <c r="G292" s="38">
        <f>'Raw Data'!G292*12</f>
        <v>402000</v>
      </c>
      <c r="H292" s="17" t="str">
        <f t="shared" si="12"/>
        <v>Low</v>
      </c>
      <c r="I292" s="17">
        <f t="shared" si="13"/>
        <v>262</v>
      </c>
      <c r="J292" s="17" t="str">
        <f t="shared" si="14"/>
        <v>Mar-EMP0291</v>
      </c>
      <c r="K292" s="39">
        <f ca="1">EOMONTH('Raw Data'!E292,12*(YEAR(TODAY())-YEAR('Raw Data'!E292))+3)</f>
        <v>46265</v>
      </c>
      <c r="L292" s="17" t="str">
        <f ca="1">IF(AND('Raw Data'!H292&gt;=4,D292="Active",E292&lt;2),"Watch","")</f>
        <v/>
      </c>
      <c r="M292" s="69" t="str">
        <f>IFERROR(VLOOKUP($A292,'Raw Data'!$A$2:$C$50,3,FALSE()),"Not in first 49 rows")</f>
        <v>Not in first 49 rows</v>
      </c>
    </row>
    <row r="293" spans="1:13" x14ac:dyDescent="0.3">
      <c r="A293" s="68" t="str">
        <f>'Raw Data'!A293</f>
        <v>EMP0292</v>
      </c>
      <c r="B293" s="17" t="str">
        <f>INDEX('Raw Data'!$B$2:$B$301, MATCH(A293,'Raw Data'!$A$2:$A$301,0))</f>
        <v>Vihaan Pillai</v>
      </c>
      <c r="C293" s="17" t="str">
        <f>VLOOKUP($A293,'Raw Data'!$A$2:$C$301,3,FALSE)</f>
        <v>HR</v>
      </c>
      <c r="D293" s="17" t="str">
        <f>IF(ISBLANK('Raw Data'!F293),"Active","Resigned")</f>
        <v>Active</v>
      </c>
      <c r="E293" s="17">
        <f ca="1">DATEDIF('Raw Data'!E293,IF(ISBLANK('Raw Data'!F293),TODAY(),'Raw Data'!F293),"Y")</f>
        <v>4</v>
      </c>
      <c r="F293" s="17" t="str">
        <f>_xlfn.IFS('Raw Data'!D293&lt;30,"Under 30",'Raw Data'!D293&lt;=40,"30-40",'Raw Data'!D293&lt;=50,"41-50",TRUE(),"51+")</f>
        <v>41-50</v>
      </c>
      <c r="G293" s="38">
        <f>'Raw Data'!G293*12</f>
        <v>423600</v>
      </c>
      <c r="H293" s="17" t="str">
        <f t="shared" si="12"/>
        <v>Mid</v>
      </c>
      <c r="I293" s="17">
        <f t="shared" si="13"/>
        <v>249</v>
      </c>
      <c r="J293" s="17" t="str">
        <f t="shared" si="14"/>
        <v>HR-EMP0292</v>
      </c>
      <c r="K293" s="39">
        <f ca="1">EOMONTH('Raw Data'!E293,12*(YEAR(TODAY())-YEAR('Raw Data'!E293))+3)</f>
        <v>46234</v>
      </c>
      <c r="L293" s="17" t="str">
        <f ca="1">IF(AND('Raw Data'!H293&gt;=4,D293="Active",E293&lt;2),"Watch","")</f>
        <v/>
      </c>
      <c r="M293" s="69" t="str">
        <f>IFERROR(VLOOKUP($A293,'Raw Data'!$A$2:$C$50,3,FALSE()),"Not in first 49 rows")</f>
        <v>Not in first 49 rows</v>
      </c>
    </row>
    <row r="294" spans="1:13" x14ac:dyDescent="0.3">
      <c r="A294" s="68" t="str">
        <f>'Raw Data'!A294</f>
        <v>EMP0293</v>
      </c>
      <c r="B294" s="17" t="str">
        <f>INDEX('Raw Data'!$B$2:$B$301, MATCH(A294,'Raw Data'!$A$2:$A$301,0))</f>
        <v>Amit Gupta</v>
      </c>
      <c r="C294" s="17" t="str">
        <f>VLOOKUP($A294,'Raw Data'!$A$2:$C$301,3,FALSE)</f>
        <v>HR</v>
      </c>
      <c r="D294" s="17" t="str">
        <f>IF(ISBLANK('Raw Data'!F294),"Active","Resigned")</f>
        <v>Active</v>
      </c>
      <c r="E294" s="17">
        <f ca="1">DATEDIF('Raw Data'!E294,IF(ISBLANK('Raw Data'!F294),TODAY(),'Raw Data'!F294),"Y")</f>
        <v>9</v>
      </c>
      <c r="F294" s="17" t="str">
        <f>_xlfn.IFS('Raw Data'!D294&lt;30,"Under 30",'Raw Data'!D294&lt;=40,"30-40",'Raw Data'!D294&lt;=50,"41-50",TRUE(),"51+")</f>
        <v>41-50</v>
      </c>
      <c r="G294" s="38">
        <f>'Raw Data'!G294*12</f>
        <v>550800</v>
      </c>
      <c r="H294" s="17" t="str">
        <f t="shared" si="12"/>
        <v>High</v>
      </c>
      <c r="I294" s="17">
        <f t="shared" si="13"/>
        <v>137</v>
      </c>
      <c r="J294" s="17" t="str">
        <f t="shared" si="14"/>
        <v>HR-EMP0293</v>
      </c>
      <c r="K294" s="39">
        <f ca="1">EOMONTH('Raw Data'!E294,12*(YEAR(TODAY())-YEAR('Raw Data'!E294))+3)</f>
        <v>46142</v>
      </c>
      <c r="L294" s="17" t="str">
        <f ca="1">IF(AND('Raw Data'!H294&gt;=4,D294="Active",E294&lt;2),"Watch","")</f>
        <v/>
      </c>
      <c r="M294" s="69" t="str">
        <f>IFERROR(VLOOKUP($A294,'Raw Data'!$A$2:$C$50,3,FALSE()),"Not in first 49 rows")</f>
        <v>Not in first 49 rows</v>
      </c>
    </row>
    <row r="295" spans="1:13" x14ac:dyDescent="0.3">
      <c r="A295" s="68" t="str">
        <f>'Raw Data'!A295</f>
        <v>EMP0294</v>
      </c>
      <c r="B295" s="17" t="str">
        <f>INDEX('Raw Data'!$B$2:$B$301, MATCH(A295,'Raw Data'!$A$2:$A$301,0))</f>
        <v>Nikhil Agarwal</v>
      </c>
      <c r="C295" s="17" t="str">
        <f>VLOOKUP($A295,'Raw Data'!$A$2:$C$301,3,FALSE)</f>
        <v>IT</v>
      </c>
      <c r="D295" s="17" t="str">
        <f>IF(ISBLANK('Raw Data'!F295),"Active","Resigned")</f>
        <v>Resigned</v>
      </c>
      <c r="E295" s="17">
        <f ca="1">DATEDIF('Raw Data'!E295,IF(ISBLANK('Raw Data'!F295),TODAY(),'Raw Data'!F295),"Y")</f>
        <v>8</v>
      </c>
      <c r="F295" s="17" t="str">
        <f>_xlfn.IFS('Raw Data'!D295&lt;30,"Under 30",'Raw Data'!D295&lt;=40,"30-40",'Raw Data'!D295&lt;=50,"41-50",TRUE(),"51+")</f>
        <v>Under 30</v>
      </c>
      <c r="G295" s="38">
        <f>'Raw Data'!G295*12</f>
        <v>697200</v>
      </c>
      <c r="H295" s="17" t="str">
        <f t="shared" si="12"/>
        <v>Premium</v>
      </c>
      <c r="I295" s="17">
        <f t="shared" si="13"/>
        <v>31</v>
      </c>
      <c r="J295" s="17" t="str">
        <f t="shared" si="14"/>
        <v>IT-EMP0294</v>
      </c>
      <c r="K295" s="39">
        <f ca="1">EOMONTH('Raw Data'!E295,12*(YEAR(TODAY())-YEAR('Raw Data'!E295))+3)</f>
        <v>46418</v>
      </c>
      <c r="L295" s="17" t="str">
        <f ca="1">IF(AND('Raw Data'!H295&gt;=4,D295="Active",E295&lt;2),"Watch","")</f>
        <v/>
      </c>
      <c r="M295" s="69" t="str">
        <f>IFERROR(VLOOKUP($A295,'Raw Data'!$A$2:$C$50,3,FALSE()),"Not in first 49 rows")</f>
        <v>Not in first 49 rows</v>
      </c>
    </row>
    <row r="296" spans="1:13" x14ac:dyDescent="0.3">
      <c r="A296" s="68" t="str">
        <f>'Raw Data'!A296</f>
        <v>EMP0295</v>
      </c>
      <c r="B296" s="17" t="str">
        <f>INDEX('Raw Data'!$B$2:$B$301, MATCH(A296,'Raw Data'!$A$2:$A$301,0))</f>
        <v>Ira Chopra</v>
      </c>
      <c r="C296" s="17" t="str">
        <f>VLOOKUP($A296,'Raw Data'!$A$2:$C$301,3,FALSE)</f>
        <v>Marketing</v>
      </c>
      <c r="D296" s="17" t="str">
        <f>IF(ISBLANK('Raw Data'!F296),"Active","Resigned")</f>
        <v>Active</v>
      </c>
      <c r="E296" s="17">
        <f ca="1">DATEDIF('Raw Data'!E296,IF(ISBLANK('Raw Data'!F296),TODAY(),'Raw Data'!F296),"Y")</f>
        <v>7</v>
      </c>
      <c r="F296" s="17" t="str">
        <f>_xlfn.IFS('Raw Data'!D296&lt;30,"Under 30",'Raw Data'!D296&lt;=40,"30-40",'Raw Data'!D296&lt;=50,"41-50",TRUE(),"51+")</f>
        <v>41-50</v>
      </c>
      <c r="G296" s="38">
        <f>'Raw Data'!G296*12</f>
        <v>364800</v>
      </c>
      <c r="H296" s="17" t="str">
        <f t="shared" si="12"/>
        <v>Low</v>
      </c>
      <c r="I296" s="17">
        <f t="shared" si="13"/>
        <v>286</v>
      </c>
      <c r="J296" s="17" t="str">
        <f t="shared" si="14"/>
        <v>Mar-EMP0295</v>
      </c>
      <c r="K296" s="39">
        <f ca="1">EOMONTH('Raw Data'!E296,12*(YEAR(TODAY())-YEAR('Raw Data'!E296))+3)</f>
        <v>46265</v>
      </c>
      <c r="L296" s="17" t="str">
        <f ca="1">IF(AND('Raw Data'!H296&gt;=4,D296="Active",E296&lt;2),"Watch","")</f>
        <v/>
      </c>
      <c r="M296" s="69" t="str">
        <f>IFERROR(VLOOKUP($A296,'Raw Data'!$A$2:$C$50,3,FALSE()),"Not in first 49 rows")</f>
        <v>Not in first 49 rows</v>
      </c>
    </row>
    <row r="297" spans="1:13" x14ac:dyDescent="0.3">
      <c r="A297" s="68" t="str">
        <f>'Raw Data'!A297</f>
        <v>EMP0296</v>
      </c>
      <c r="B297" s="17" t="str">
        <f>INDEX('Raw Data'!$B$2:$B$301, MATCH(A297,'Raw Data'!$A$2:$A$301,0))</f>
        <v>Kabir Chopra</v>
      </c>
      <c r="C297" s="17" t="str">
        <f>VLOOKUP($A297,'Raw Data'!$A$2:$C$301,3,FALSE)</f>
        <v>Marketing</v>
      </c>
      <c r="D297" s="17" t="str">
        <f>IF(ISBLANK('Raw Data'!F297),"Active","Resigned")</f>
        <v>Active</v>
      </c>
      <c r="E297" s="17">
        <f ca="1">DATEDIF('Raw Data'!E297,IF(ISBLANK('Raw Data'!F297),TODAY(),'Raw Data'!F297),"Y")</f>
        <v>6</v>
      </c>
      <c r="F297" s="17" t="str">
        <f>_xlfn.IFS('Raw Data'!D297&lt;30,"Under 30",'Raw Data'!D297&lt;=40,"30-40",'Raw Data'!D297&lt;=50,"41-50",TRUE(),"51+")</f>
        <v>30-40</v>
      </c>
      <c r="G297" s="38">
        <f>'Raw Data'!G297*12</f>
        <v>518400</v>
      </c>
      <c r="H297" s="17" t="str">
        <f t="shared" si="12"/>
        <v>Mid</v>
      </c>
      <c r="I297" s="17">
        <f t="shared" si="13"/>
        <v>174</v>
      </c>
      <c r="J297" s="17" t="str">
        <f t="shared" si="14"/>
        <v>Mar-EMP0296</v>
      </c>
      <c r="K297" s="39">
        <f ca="1">EOMONTH('Raw Data'!E297,12*(YEAR(TODAY())-YEAR('Raw Data'!E297))+3)</f>
        <v>46295</v>
      </c>
      <c r="L297" s="17" t="str">
        <f ca="1">IF(AND('Raw Data'!H297&gt;=4,D297="Active",E297&lt;2),"Watch","")</f>
        <v/>
      </c>
      <c r="M297" s="69" t="str">
        <f>IFERROR(VLOOKUP($A297,'Raw Data'!$A$2:$C$50,3,FALSE()),"Not in first 49 rows")</f>
        <v>Not in first 49 rows</v>
      </c>
    </row>
    <row r="298" spans="1:13" x14ac:dyDescent="0.3">
      <c r="A298" s="68" t="str">
        <f>'Raw Data'!A298</f>
        <v>EMP0297</v>
      </c>
      <c r="B298" s="17" t="str">
        <f>INDEX('Raw Data'!$B$2:$B$301, MATCH(A298,'Raw Data'!$A$2:$A$301,0))</f>
        <v>Nikhil Malhotra</v>
      </c>
      <c r="C298" s="17" t="str">
        <f>VLOOKUP($A298,'Raw Data'!$A$2:$C$301,3,FALSE)</f>
        <v>IT</v>
      </c>
      <c r="D298" s="17" t="str">
        <f>IF(ISBLANK('Raw Data'!F298),"Active","Resigned")</f>
        <v>Resigned</v>
      </c>
      <c r="E298" s="17">
        <f ca="1">DATEDIF('Raw Data'!E298,IF(ISBLANK('Raw Data'!F298),TODAY(),'Raw Data'!F298),"Y")</f>
        <v>5</v>
      </c>
      <c r="F298" s="17" t="str">
        <f>_xlfn.IFS('Raw Data'!D298&lt;30,"Under 30",'Raw Data'!D298&lt;=40,"30-40",'Raw Data'!D298&lt;=50,"41-50",TRUE(),"51+")</f>
        <v>41-50</v>
      </c>
      <c r="G298" s="38">
        <f>'Raw Data'!G298*12</f>
        <v>782400</v>
      </c>
      <c r="H298" s="17" t="str">
        <f t="shared" si="12"/>
        <v>Premium</v>
      </c>
      <c r="I298" s="17">
        <f t="shared" si="13"/>
        <v>5</v>
      </c>
      <c r="J298" s="17" t="str">
        <f t="shared" si="14"/>
        <v>IT-EMP0297</v>
      </c>
      <c r="K298" s="39">
        <f ca="1">EOMONTH('Raw Data'!E298,12*(YEAR(TODAY())-YEAR('Raw Data'!E298))+3)</f>
        <v>46295</v>
      </c>
      <c r="L298" s="17" t="str">
        <f ca="1">IF(AND('Raw Data'!H298&gt;=4,D298="Active",E298&lt;2),"Watch","")</f>
        <v/>
      </c>
      <c r="M298" s="69" t="str">
        <f>IFERROR(VLOOKUP($A298,'Raw Data'!$A$2:$C$50,3,FALSE()),"Not in first 49 rows")</f>
        <v>Not in first 49 rows</v>
      </c>
    </row>
    <row r="299" spans="1:13" x14ac:dyDescent="0.3">
      <c r="A299" s="68" t="str">
        <f>'Raw Data'!A299</f>
        <v>EMP0298</v>
      </c>
      <c r="B299" s="17" t="str">
        <f>INDEX('Raw Data'!$B$2:$B$301, MATCH(A299,'Raw Data'!$A$2:$A$301,0))</f>
        <v>Priya Mehta</v>
      </c>
      <c r="C299" s="17" t="str">
        <f>VLOOKUP($A299,'Raw Data'!$A$2:$C$301,3,FALSE)</f>
        <v>Marketing</v>
      </c>
      <c r="D299" s="17" t="str">
        <f>IF(ISBLANK('Raw Data'!F299),"Active","Resigned")</f>
        <v>Active</v>
      </c>
      <c r="E299" s="17">
        <f ca="1">DATEDIF('Raw Data'!E299,IF(ISBLANK('Raw Data'!F299),TODAY(),'Raw Data'!F299),"Y")</f>
        <v>7</v>
      </c>
      <c r="F299" s="17" t="str">
        <f>_xlfn.IFS('Raw Data'!D299&lt;30,"Under 30",'Raw Data'!D299&lt;=40,"30-40",'Raw Data'!D299&lt;=50,"41-50",TRUE(),"51+")</f>
        <v>41-50</v>
      </c>
      <c r="G299" s="38">
        <f>'Raw Data'!G299*12</f>
        <v>522000</v>
      </c>
      <c r="H299" s="17" t="str">
        <f t="shared" si="12"/>
        <v>Mid</v>
      </c>
      <c r="I299" s="17">
        <f t="shared" si="13"/>
        <v>173</v>
      </c>
      <c r="J299" s="17" t="str">
        <f t="shared" si="14"/>
        <v>Mar-EMP0298</v>
      </c>
      <c r="K299" s="39">
        <f ca="1">EOMONTH('Raw Data'!E299,12*(YEAR(TODAY())-YEAR('Raw Data'!E299))+3)</f>
        <v>46326</v>
      </c>
      <c r="L299" s="17" t="str">
        <f ca="1">IF(AND('Raw Data'!H299&gt;=4,D299="Active",E299&lt;2),"Watch","")</f>
        <v/>
      </c>
      <c r="M299" s="69" t="str">
        <f>IFERROR(VLOOKUP($A299,'Raw Data'!$A$2:$C$50,3,FALSE()),"Not in first 49 rows")</f>
        <v>Not in first 49 rows</v>
      </c>
    </row>
    <row r="300" spans="1:13" x14ac:dyDescent="0.3">
      <c r="A300" s="68" t="str">
        <f>'Raw Data'!A300</f>
        <v>EMP0299</v>
      </c>
      <c r="B300" s="17" t="str">
        <f>INDEX('Raw Data'!$B$2:$B$301, MATCH(A300,'Raw Data'!$A$2:$A$301,0))</f>
        <v>Karan Sharma</v>
      </c>
      <c r="C300" s="17" t="str">
        <f>VLOOKUP($A300,'Raw Data'!$A$2:$C$301,3,FALSE)</f>
        <v>Finance</v>
      </c>
      <c r="D300" s="17" t="str">
        <f>IF(ISBLANK('Raw Data'!F300),"Active","Resigned")</f>
        <v>Active</v>
      </c>
      <c r="E300" s="17">
        <f ca="1">DATEDIF('Raw Data'!E300,IF(ISBLANK('Raw Data'!F300),TODAY(),'Raw Data'!F300),"Y")</f>
        <v>4</v>
      </c>
      <c r="F300" s="17" t="str">
        <f>_xlfn.IFS('Raw Data'!D300&lt;30,"Under 30",'Raw Data'!D300&lt;=40,"30-40",'Raw Data'!D300&lt;=50,"41-50",TRUE(),"51+")</f>
        <v>51+</v>
      </c>
      <c r="G300" s="38">
        <f>'Raw Data'!G300*12</f>
        <v>612000</v>
      </c>
      <c r="H300" s="17" t="str">
        <f t="shared" si="12"/>
        <v>High</v>
      </c>
      <c r="I300" s="17">
        <f t="shared" si="13"/>
        <v>77</v>
      </c>
      <c r="J300" s="17" t="str">
        <f t="shared" si="14"/>
        <v>Fin-EMP0299</v>
      </c>
      <c r="K300" s="39">
        <f ca="1">EOMONTH('Raw Data'!E300,12*(YEAR(TODAY())-YEAR('Raw Data'!E300))+3)</f>
        <v>46326</v>
      </c>
      <c r="L300" s="17" t="str">
        <f ca="1">IF(AND('Raw Data'!H300&gt;=4,D300="Active",E300&lt;2),"Watch","")</f>
        <v/>
      </c>
      <c r="M300" s="69" t="str">
        <f>IFERROR(VLOOKUP($A300,'Raw Data'!$A$2:$C$50,3,FALSE()),"Not in first 49 rows")</f>
        <v>Not in first 49 rows</v>
      </c>
    </row>
    <row r="301" spans="1:13" ht="15" thickBot="1" x14ac:dyDescent="0.35">
      <c r="A301" s="70" t="str">
        <f>'Raw Data'!A301</f>
        <v>EMP0300</v>
      </c>
      <c r="B301" s="71" t="str">
        <f>INDEX('Raw Data'!$B$2:$B$301, MATCH(A301,'Raw Data'!$A$2:$A$301,0))</f>
        <v>Amit Nair</v>
      </c>
      <c r="C301" s="71" t="str">
        <f>VLOOKUP($A301,'Raw Data'!$A$2:$C$301,3,FALSE)</f>
        <v>HR</v>
      </c>
      <c r="D301" s="71" t="str">
        <f>IF(ISBLANK('Raw Data'!F301),"Active","Resigned")</f>
        <v>Resigned</v>
      </c>
      <c r="E301" s="71">
        <f ca="1">DATEDIF('Raw Data'!E301,IF(ISBLANK('Raw Data'!F301),TODAY(),'Raw Data'!F301),"Y")</f>
        <v>1</v>
      </c>
      <c r="F301" s="71" t="str">
        <f>_xlfn.IFS('Raw Data'!D301&lt;30,"Under 30",'Raw Data'!D301&lt;=40,"30-40",'Raw Data'!D301&lt;=50,"41-50",TRUE(),"51+")</f>
        <v>51+</v>
      </c>
      <c r="G301" s="72">
        <f>'Raw Data'!G301*12</f>
        <v>500400</v>
      </c>
      <c r="H301" s="71" t="str">
        <f t="shared" si="12"/>
        <v>Mid</v>
      </c>
      <c r="I301" s="71">
        <f t="shared" si="13"/>
        <v>188</v>
      </c>
      <c r="J301" s="71" t="str">
        <f t="shared" si="14"/>
        <v>HR-EMP0300</v>
      </c>
      <c r="K301" s="73">
        <f ca="1">EOMONTH('Raw Data'!E301,12*(YEAR(TODAY())-YEAR('Raw Data'!E301))+3)</f>
        <v>46265</v>
      </c>
      <c r="L301" s="71" t="str">
        <f ca="1">IF(AND('Raw Data'!H301&gt;=4,D301="Active",E301&lt;2),"Watch","")</f>
        <v/>
      </c>
      <c r="M301" s="74" t="str">
        <f>IFERROR(VLOOKUP($A301,'Raw Data'!$A$2:$C$50,3,FALSE()),"Not in first 49 rows")</f>
        <v>Not in first 49 rows</v>
      </c>
    </row>
    <row r="302" spans="1:13" x14ac:dyDescent="0.3">
      <c r="A302" s="36"/>
    </row>
    <row r="303" spans="1:13" x14ac:dyDescent="0.3">
      <c r="A303" s="36"/>
    </row>
    <row r="304" spans="1:13" x14ac:dyDescent="0.3">
      <c r="A304" s="36"/>
    </row>
    <row r="305" spans="1:1" x14ac:dyDescent="0.3">
      <c r="A305" s="36"/>
    </row>
    <row r="306" spans="1:1" x14ac:dyDescent="0.3">
      <c r="A306" s="36"/>
    </row>
    <row r="307" spans="1:1" x14ac:dyDescent="0.3">
      <c r="A307" s="36"/>
    </row>
    <row r="308" spans="1:1" x14ac:dyDescent="0.3">
      <c r="A308" s="36"/>
    </row>
    <row r="309" spans="1:1" x14ac:dyDescent="0.3">
      <c r="A309" s="36"/>
    </row>
    <row r="310" spans="1:1" x14ac:dyDescent="0.3">
      <c r="A310" s="36"/>
    </row>
    <row r="311" spans="1:1" x14ac:dyDescent="0.3">
      <c r="A311" s="36"/>
    </row>
    <row r="312" spans="1:1" x14ac:dyDescent="0.3">
      <c r="A312" s="36"/>
    </row>
    <row r="313" spans="1:1" x14ac:dyDescent="0.3">
      <c r="A313" s="36"/>
    </row>
    <row r="314" spans="1:1" x14ac:dyDescent="0.3">
      <c r="A314" s="36"/>
    </row>
    <row r="315" spans="1:1" x14ac:dyDescent="0.3">
      <c r="A315" s="36"/>
    </row>
    <row r="316" spans="1:1" x14ac:dyDescent="0.3">
      <c r="A316" s="36"/>
    </row>
    <row r="317" spans="1:1" x14ac:dyDescent="0.3">
      <c r="A317" s="36"/>
    </row>
    <row r="318" spans="1:1" x14ac:dyDescent="0.3">
      <c r="A318" s="36"/>
    </row>
    <row r="319" spans="1:1" x14ac:dyDescent="0.3">
      <c r="A319" s="36"/>
    </row>
    <row r="320" spans="1:1" x14ac:dyDescent="0.3">
      <c r="A320" s="36"/>
    </row>
    <row r="321" spans="1:1" x14ac:dyDescent="0.3">
      <c r="A321" s="36"/>
    </row>
    <row r="322" spans="1:1" x14ac:dyDescent="0.3">
      <c r="A322" s="36"/>
    </row>
    <row r="323" spans="1:1" x14ac:dyDescent="0.3">
      <c r="A323" s="36"/>
    </row>
    <row r="324" spans="1:1" x14ac:dyDescent="0.3">
      <c r="A324" s="36"/>
    </row>
    <row r="325" spans="1:1" x14ac:dyDescent="0.3">
      <c r="A325" s="36"/>
    </row>
    <row r="326" spans="1:1" x14ac:dyDescent="0.3">
      <c r="A326" s="36"/>
    </row>
    <row r="327" spans="1:1" x14ac:dyDescent="0.3">
      <c r="A327" s="36"/>
    </row>
    <row r="328" spans="1:1" x14ac:dyDescent="0.3">
      <c r="A328" s="36"/>
    </row>
    <row r="329" spans="1:1" x14ac:dyDescent="0.3">
      <c r="A329" s="36"/>
    </row>
    <row r="330" spans="1:1" x14ac:dyDescent="0.3">
      <c r="A330" s="36"/>
    </row>
    <row r="331" spans="1:1" x14ac:dyDescent="0.3">
      <c r="A331" s="36"/>
    </row>
    <row r="332" spans="1:1" x14ac:dyDescent="0.3">
      <c r="A332" s="36"/>
    </row>
    <row r="333" spans="1:1" x14ac:dyDescent="0.3">
      <c r="A333" s="36"/>
    </row>
    <row r="334" spans="1:1" x14ac:dyDescent="0.3">
      <c r="A334" s="36"/>
    </row>
    <row r="335" spans="1:1" x14ac:dyDescent="0.3">
      <c r="A335" s="36"/>
    </row>
    <row r="336" spans="1:1" x14ac:dyDescent="0.3">
      <c r="A336" s="36"/>
    </row>
    <row r="337" spans="1:1" x14ac:dyDescent="0.3">
      <c r="A337" s="36"/>
    </row>
    <row r="338" spans="1:1" x14ac:dyDescent="0.3">
      <c r="A338" s="36"/>
    </row>
    <row r="339" spans="1:1" x14ac:dyDescent="0.3">
      <c r="A339" s="36"/>
    </row>
    <row r="340" spans="1:1" x14ac:dyDescent="0.3">
      <c r="A340" s="36"/>
    </row>
    <row r="341" spans="1:1" x14ac:dyDescent="0.3">
      <c r="A341" s="36"/>
    </row>
    <row r="342" spans="1:1" x14ac:dyDescent="0.3">
      <c r="A342" s="36"/>
    </row>
    <row r="343" spans="1:1" x14ac:dyDescent="0.3">
      <c r="A343" s="36"/>
    </row>
    <row r="344" spans="1:1" x14ac:dyDescent="0.3">
      <c r="A344" s="36"/>
    </row>
    <row r="345" spans="1:1" x14ac:dyDescent="0.3">
      <c r="A345" s="36"/>
    </row>
    <row r="346" spans="1:1" x14ac:dyDescent="0.3">
      <c r="A346" s="36"/>
    </row>
    <row r="347" spans="1:1" x14ac:dyDescent="0.3">
      <c r="A347" s="36"/>
    </row>
    <row r="348" spans="1:1" x14ac:dyDescent="0.3">
      <c r="A348" s="36"/>
    </row>
    <row r="349" spans="1:1" x14ac:dyDescent="0.3">
      <c r="A349" s="36"/>
    </row>
    <row r="350" spans="1:1" x14ac:dyDescent="0.3">
      <c r="A350" s="3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CF000A-2C47-4D04-B776-AF62A171641B}">
  <dimension ref="A1:H19"/>
  <sheetViews>
    <sheetView workbookViewId="0">
      <selection activeCell="A7" sqref="A3:H10"/>
    </sheetView>
  </sheetViews>
  <sheetFormatPr defaultRowHeight="14.4" x14ac:dyDescent="0.3"/>
  <cols>
    <col min="1" max="1" width="19.21875" bestFit="1" customWidth="1"/>
    <col min="2" max="2" width="12.5546875" bestFit="1" customWidth="1"/>
    <col min="3" max="3" width="7.21875" bestFit="1" customWidth="1"/>
    <col min="4" max="4" width="10.21875" bestFit="1" customWidth="1"/>
    <col min="5" max="5" width="13.33203125" bestFit="1" customWidth="1"/>
    <col min="6" max="6" width="19.33203125" bestFit="1" customWidth="1"/>
    <col min="7" max="7" width="16.5546875" bestFit="1" customWidth="1"/>
    <col min="8" max="8" width="17.6640625" bestFit="1" customWidth="1"/>
  </cols>
  <sheetData>
    <row r="1" spans="1:8" ht="18" thickBot="1" x14ac:dyDescent="0.35">
      <c r="A1" s="102" t="s">
        <v>1006</v>
      </c>
      <c r="B1" s="103"/>
      <c r="C1" s="103"/>
      <c r="D1" s="103"/>
      <c r="E1" s="103"/>
      <c r="F1" s="103"/>
      <c r="G1" s="103"/>
      <c r="H1" s="104"/>
    </row>
    <row r="2" spans="1:8" ht="15" thickBot="1" x14ac:dyDescent="0.35">
      <c r="A2" s="105"/>
      <c r="B2" s="106"/>
      <c r="C2" s="106"/>
      <c r="D2" s="106"/>
      <c r="E2" s="106"/>
      <c r="F2" s="106"/>
      <c r="G2" s="106"/>
      <c r="H2" s="107"/>
    </row>
    <row r="3" spans="1:8" x14ac:dyDescent="0.3">
      <c r="A3" s="42" t="s">
        <v>6</v>
      </c>
      <c r="B3" s="43" t="s">
        <v>1007</v>
      </c>
      <c r="C3" s="43" t="s">
        <v>1008</v>
      </c>
      <c r="D3" s="43" t="s">
        <v>1009</v>
      </c>
      <c r="E3" s="43" t="s">
        <v>1010</v>
      </c>
      <c r="F3" s="43" t="s">
        <v>1011</v>
      </c>
      <c r="G3" s="43" t="s">
        <v>1012</v>
      </c>
      <c r="H3" s="44" t="s">
        <v>1013</v>
      </c>
    </row>
    <row r="4" spans="1:8" x14ac:dyDescent="0.3">
      <c r="A4" s="45" t="s">
        <v>64</v>
      </c>
      <c r="B4" s="17">
        <f>COUNTIFS(Calculations!$C$2:$C$301,A4)</f>
        <v>57</v>
      </c>
      <c r="C4" s="17">
        <f>COUNTIFS(Calculations!$C$2:$C$301,A4,Calculations!$D$2:$D$301,"Active")</f>
        <v>40</v>
      </c>
      <c r="D4" s="17">
        <f>COUNTIFS(Calculations!$C$2:$C$301,A4,Calculations!$D$2:$D$301,"Resigned")</f>
        <v>17</v>
      </c>
      <c r="E4" s="40">
        <f>IFERROR(D4/B4,0)</f>
        <v>0.2982456140350877</v>
      </c>
      <c r="F4" s="38">
        <f>AVERAGEIFS(Calculations!$G$2:$G$301,Calculations!$C$2:$C$301,A4)</f>
        <v>480000</v>
      </c>
      <c r="G4" s="41">
        <f ca="1">AVERAGEIFS(Calculations!$E$2:$E$301,Calculations!$C$2:$C$301,A4)</f>
        <v>4.2631578947368425</v>
      </c>
      <c r="H4" s="46">
        <f>AVERAGEIFS('Raw Data'!$H$2:$H$301,'Raw Data'!$C$2:$C$301,A4)</f>
        <v>3.1052631578947367</v>
      </c>
    </row>
    <row r="5" spans="1:8" x14ac:dyDescent="0.3">
      <c r="A5" s="45" t="s">
        <v>19</v>
      </c>
      <c r="B5" s="17">
        <f>COUNTIFS(Calculations!$C$2:$C$301,A5)</f>
        <v>51</v>
      </c>
      <c r="C5" s="17">
        <f>COUNTIFS(Calculations!$C$2:$C$301,A5,Calculations!$D$2:$D$301,"Active")</f>
        <v>40</v>
      </c>
      <c r="D5" s="17">
        <f>COUNTIFS(Calculations!$C$2:$C$301,A5,Calculations!$D$2:$D$301,"Resigned")</f>
        <v>11</v>
      </c>
      <c r="E5" s="40">
        <f t="shared" ref="E5:E10" si="0">IFERROR(D5/B5,0)</f>
        <v>0.21568627450980393</v>
      </c>
      <c r="F5" s="38">
        <f>AVERAGEIFS(Calculations!$G$2:$G$301,Calculations!$C$2:$C$301,A5)</f>
        <v>515623.5294117647</v>
      </c>
      <c r="G5" s="41">
        <f ca="1">AVERAGEIFS(Calculations!$E$2:$E$301,Calculations!$C$2:$C$301,A5)</f>
        <v>4.4509803921568629</v>
      </c>
      <c r="H5" s="46">
        <f>AVERAGEIFS('Raw Data'!$H$2:$H$301,'Raw Data'!$C$2:$C$301,A5)</f>
        <v>3.4705882352941178</v>
      </c>
    </row>
    <row r="6" spans="1:8" x14ac:dyDescent="0.3">
      <c r="A6" s="45" t="s">
        <v>15</v>
      </c>
      <c r="B6" s="17">
        <f>COUNTIFS(Calculations!$C$2:$C$301,A6)</f>
        <v>42</v>
      </c>
      <c r="C6" s="17">
        <f>COUNTIFS(Calculations!$C$2:$C$301,A6,Calculations!$D$2:$D$301,"Active")</f>
        <v>28</v>
      </c>
      <c r="D6" s="17">
        <f>COUNTIFS(Calculations!$C$2:$C$301,A6,Calculations!$D$2:$D$301,"Resigned")</f>
        <v>14</v>
      </c>
      <c r="E6" s="40">
        <f t="shared" si="0"/>
        <v>0.33333333333333331</v>
      </c>
      <c r="F6" s="38">
        <f>AVERAGEIFS(Calculations!$G$2:$G$301,Calculations!$C$2:$C$301,A6)</f>
        <v>623000</v>
      </c>
      <c r="G6" s="41">
        <f ca="1">AVERAGEIFS(Calculations!$E$2:$E$301,Calculations!$C$2:$C$301,A6)</f>
        <v>4.0952380952380949</v>
      </c>
      <c r="H6" s="46">
        <f>AVERAGEIFS('Raw Data'!$H$2:$H$301,'Raw Data'!$C$2:$C$301,A6)</f>
        <v>3.5</v>
      </c>
    </row>
    <row r="7" spans="1:8" x14ac:dyDescent="0.3">
      <c r="A7" s="45" t="s">
        <v>11</v>
      </c>
      <c r="B7" s="17">
        <f>COUNTIFS(Calculations!$C$2:$C$301,A7)</f>
        <v>48</v>
      </c>
      <c r="C7" s="17">
        <f>COUNTIFS(Calculations!$C$2:$C$301,A7,Calculations!$D$2:$D$301,"Active")</f>
        <v>34</v>
      </c>
      <c r="D7" s="17">
        <f>COUNTIFS(Calculations!$C$2:$C$301,A7,Calculations!$D$2:$D$301,"Resigned")</f>
        <v>14</v>
      </c>
      <c r="E7" s="40">
        <f t="shared" si="0"/>
        <v>0.29166666666666669</v>
      </c>
      <c r="F7" s="38">
        <f>AVERAGEIFS(Calculations!$G$2:$G$301,Calculations!$C$2:$C$301,A7)</f>
        <v>457125</v>
      </c>
      <c r="G7" s="41">
        <f ca="1">AVERAGEIFS(Calculations!$E$2:$E$301,Calculations!$C$2:$C$301,A7)</f>
        <v>4.625</v>
      </c>
      <c r="H7" s="46">
        <f>AVERAGEIFS('Raw Data'!$H$2:$H$301,'Raw Data'!$C$2:$C$301,A7)</f>
        <v>3.5</v>
      </c>
    </row>
    <row r="8" spans="1:8" x14ac:dyDescent="0.3">
      <c r="A8" s="45" t="s">
        <v>24</v>
      </c>
      <c r="B8" s="17">
        <f>COUNTIFS(Calculations!$C$2:$C$301,A8)</f>
        <v>50</v>
      </c>
      <c r="C8" s="17">
        <f>COUNTIFS(Calculations!$C$2:$C$301,A8,Calculations!$D$2:$D$301,"Active")</f>
        <v>38</v>
      </c>
      <c r="D8" s="17">
        <f>COUNTIFS(Calculations!$C$2:$C$301,A8,Calculations!$D$2:$D$301,"Resigned")</f>
        <v>12</v>
      </c>
      <c r="E8" s="40">
        <f t="shared" si="0"/>
        <v>0.24</v>
      </c>
      <c r="F8" s="38">
        <f>AVERAGEIFS(Calculations!$G$2:$G$301,Calculations!$C$2:$C$301,A8)</f>
        <v>680472</v>
      </c>
      <c r="G8" s="41">
        <f ca="1">AVERAGEIFS(Calculations!$E$2:$E$301,Calculations!$C$2:$C$301,A8)</f>
        <v>4.9800000000000004</v>
      </c>
      <c r="H8" s="46">
        <f>AVERAGEIFS('Raw Data'!$H$2:$H$301,'Raw Data'!$C$2:$C$301,A8)</f>
        <v>3.38</v>
      </c>
    </row>
    <row r="9" spans="1:8" ht="15" thickBot="1" x14ac:dyDescent="0.35">
      <c r="A9" s="52" t="s">
        <v>59</v>
      </c>
      <c r="B9" s="53">
        <f>COUNTIFS(Calculations!$C$2:$C$301,A9)</f>
        <v>52</v>
      </c>
      <c r="C9" s="53">
        <f>COUNTIFS(Calculations!$C$2:$C$301,A9,Calculations!$D$2:$D$301,"Active")</f>
        <v>33</v>
      </c>
      <c r="D9" s="53">
        <f>COUNTIFS(Calculations!$C$2:$C$301,A9,Calculations!$D$2:$D$301,"Resigned")</f>
        <v>19</v>
      </c>
      <c r="E9" s="54">
        <f t="shared" si="0"/>
        <v>0.36538461538461536</v>
      </c>
      <c r="F9" s="55">
        <f>AVERAGEIFS(Calculations!$G$2:$G$301,Calculations!$C$2:$C$301,A9)</f>
        <v>512030.76923076925</v>
      </c>
      <c r="G9" s="56">
        <f ca="1">AVERAGEIFS(Calculations!$E$2:$E$301,Calculations!$C$2:$C$301,A9)</f>
        <v>4.5769230769230766</v>
      </c>
      <c r="H9" s="57">
        <f>AVERAGEIFS('Raw Data'!$H$2:$H$301,'Raw Data'!$C$2:$C$301,A9)</f>
        <v>3.0576923076923075</v>
      </c>
    </row>
    <row r="10" spans="1:8" ht="15" thickBot="1" x14ac:dyDescent="0.35">
      <c r="A10" s="58" t="s">
        <v>1014</v>
      </c>
      <c r="B10" s="59">
        <f>SUM(B4:B9)</f>
        <v>300</v>
      </c>
      <c r="C10" s="59">
        <f>SUM(C4:C9)</f>
        <v>213</v>
      </c>
      <c r="D10" s="59">
        <f>SUM(D4:D9)</f>
        <v>87</v>
      </c>
      <c r="E10" s="60">
        <f t="shared" si="0"/>
        <v>0.28999999999999998</v>
      </c>
      <c r="F10" s="61">
        <f>AVERAGE(Calculations!$G$2:$G$301)</f>
        <v>541380</v>
      </c>
      <c r="G10" s="62">
        <f ca="1">AVERAGE(Calculations!$E$2:$E$301)</f>
        <v>4.503333333333333</v>
      </c>
      <c r="H10" s="63">
        <f>AVERAGE('Raw Data'!$H$2:$H$301)</f>
        <v>3.3233333333333333</v>
      </c>
    </row>
    <row r="11" spans="1:8" ht="15" thickBot="1" x14ac:dyDescent="0.35">
      <c r="A11" s="10"/>
      <c r="B11" s="10"/>
      <c r="C11" s="10"/>
      <c r="D11" s="10"/>
      <c r="E11" s="10"/>
      <c r="F11" s="10"/>
      <c r="G11" s="10"/>
      <c r="H11" s="10"/>
    </row>
    <row r="12" spans="1:8" ht="16.2" thickBot="1" x14ac:dyDescent="0.35">
      <c r="A12" s="108" t="s">
        <v>1015</v>
      </c>
      <c r="B12" s="109"/>
      <c r="C12" s="10"/>
      <c r="D12" s="10"/>
      <c r="E12" s="10"/>
      <c r="F12" s="10"/>
      <c r="G12" s="10"/>
      <c r="H12" s="10"/>
    </row>
    <row r="13" spans="1:8" x14ac:dyDescent="0.3">
      <c r="A13" s="50" t="s">
        <v>1016</v>
      </c>
      <c r="B13" s="51">
        <f>MEDIAN(Calculations!$G$2:$G$301)</f>
        <v>541200</v>
      </c>
      <c r="C13" s="10"/>
      <c r="D13" s="10"/>
      <c r="E13" s="10"/>
      <c r="F13" s="10"/>
      <c r="G13" s="10"/>
      <c r="H13" s="10"/>
    </row>
    <row r="14" spans="1:8" x14ac:dyDescent="0.3">
      <c r="A14" s="45" t="s">
        <v>1017</v>
      </c>
      <c r="B14" s="47">
        <f>STDEV(Calculations!$G$2:$G$301)</f>
        <v>112948.87173149655</v>
      </c>
      <c r="C14" s="10"/>
      <c r="D14" s="10"/>
      <c r="E14" s="10"/>
      <c r="F14" s="10"/>
      <c r="G14" s="10"/>
      <c r="H14" s="10"/>
    </row>
    <row r="15" spans="1:8" x14ac:dyDescent="0.3">
      <c r="A15" s="45" t="s">
        <v>1018</v>
      </c>
      <c r="B15" s="47">
        <f>PERCENTILE(Calculations!$G$2:$G$301,0.9)</f>
        <v>697320</v>
      </c>
      <c r="C15" s="10"/>
      <c r="D15" s="10"/>
      <c r="E15" s="10"/>
      <c r="F15" s="10"/>
      <c r="G15" s="10"/>
      <c r="H15" s="10"/>
    </row>
    <row r="16" spans="1:8" x14ac:dyDescent="0.3">
      <c r="A16" s="45" t="s">
        <v>1019</v>
      </c>
      <c r="B16" s="47">
        <f>MAX(Calculations!$G$2:$G$301)</f>
        <v>814800</v>
      </c>
      <c r="C16" s="10"/>
      <c r="D16" s="10"/>
      <c r="E16" s="10"/>
      <c r="F16" s="10"/>
      <c r="G16" s="10"/>
      <c r="H16" s="10"/>
    </row>
    <row r="17" spans="1:8" x14ac:dyDescent="0.3">
      <c r="A17" s="45" t="s">
        <v>1020</v>
      </c>
      <c r="B17" s="47">
        <f>MIN(Calculations!$G$2:$G$301)</f>
        <v>316800</v>
      </c>
      <c r="C17" s="10"/>
      <c r="D17" s="10"/>
      <c r="E17" s="10"/>
      <c r="F17" s="10"/>
      <c r="G17" s="10"/>
      <c r="H17" s="10"/>
    </row>
    <row r="18" spans="1:8" x14ac:dyDescent="0.3">
      <c r="A18" s="45" t="s">
        <v>1021</v>
      </c>
      <c r="B18" s="47">
        <f>COUNTIFS('Raw Data'!$H$2:$H$301,"&gt;=4")</f>
        <v>131</v>
      </c>
      <c r="C18" s="10"/>
      <c r="D18" s="10"/>
      <c r="E18" s="10"/>
      <c r="F18" s="10"/>
      <c r="G18" s="10"/>
      <c r="H18" s="10"/>
    </row>
    <row r="19" spans="1:8" ht="15" thickBot="1" x14ac:dyDescent="0.35">
      <c r="A19" s="48" t="s">
        <v>1022</v>
      </c>
      <c r="B19" s="49" cm="1">
        <f t="array" ref="B19">SUMPRODUCT((Calculations!$D$2:$D$301="Active")*Calculations!$G$2:$G$301)</f>
        <v>115310400</v>
      </c>
      <c r="C19" s="10"/>
      <c r="D19" s="10"/>
      <c r="E19" s="10"/>
      <c r="F19" s="10"/>
      <c r="G19" s="10"/>
      <c r="H19" s="10"/>
    </row>
  </sheetData>
  <mergeCells count="3">
    <mergeCell ref="A1:H1"/>
    <mergeCell ref="A2:H2"/>
    <mergeCell ref="A12:B12"/>
  </mergeCells>
  <conditionalFormatting sqref="E4:E10">
    <cfRule type="colorScale" priority="1">
      <colorScale>
        <cfvo type="min"/>
        <cfvo type="max"/>
        <color rgb="FF63BE7B"/>
        <color rgb="FFFFEF9C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6773A9-9D35-48A0-955F-62D36C0AB3C9}">
  <dimension ref="A1:W16"/>
  <sheetViews>
    <sheetView showGridLines="0" zoomScaleNormal="100" workbookViewId="0">
      <selection activeCell="F10" sqref="F10"/>
    </sheetView>
  </sheetViews>
  <sheetFormatPr defaultRowHeight="14.4" x14ac:dyDescent="0.3"/>
  <cols>
    <col min="1" max="1" width="8.88671875" customWidth="1"/>
    <col min="2" max="2" width="12.5546875" bestFit="1" customWidth="1"/>
    <col min="3" max="3" width="14.5546875" bestFit="1" customWidth="1"/>
    <col min="4" max="4" width="12.21875" bestFit="1" customWidth="1"/>
    <col min="6" max="6" width="26" customWidth="1"/>
    <col min="9" max="9" width="23.109375" customWidth="1"/>
    <col min="12" max="12" width="19.77734375" customWidth="1"/>
  </cols>
  <sheetData>
    <row r="1" spans="1:23" ht="26.4" thickBot="1" x14ac:dyDescent="0.55000000000000004">
      <c r="A1" s="97" t="s">
        <v>1023</v>
      </c>
      <c r="B1" s="98"/>
      <c r="C1" s="98"/>
      <c r="D1" s="98"/>
      <c r="E1" s="98"/>
      <c r="F1" s="98"/>
      <c r="G1" s="98"/>
      <c r="H1" s="98"/>
      <c r="I1" s="98"/>
      <c r="J1" s="98"/>
      <c r="K1" s="98"/>
      <c r="L1" s="98"/>
      <c r="M1" s="98"/>
      <c r="N1" s="98"/>
      <c r="O1" s="98"/>
      <c r="P1" s="98"/>
      <c r="Q1" s="98"/>
      <c r="R1" s="98"/>
      <c r="S1" s="98"/>
      <c r="T1" s="99"/>
      <c r="U1" s="75"/>
      <c r="V1" s="75"/>
      <c r="W1" s="75"/>
    </row>
    <row r="2" spans="1:23" ht="15" thickBot="1" x14ac:dyDescent="0.35"/>
    <row r="3" spans="1:23" s="88" customFormat="1" ht="25.8" customHeight="1" thickBot="1" x14ac:dyDescent="0.35">
      <c r="B3" s="100" t="s">
        <v>1024</v>
      </c>
      <c r="C3" s="101"/>
      <c r="E3" s="100" t="s">
        <v>1025</v>
      </c>
      <c r="F3" s="101"/>
      <c r="H3" s="100" t="s">
        <v>1026</v>
      </c>
      <c r="I3" s="101"/>
      <c r="K3" s="100" t="s">
        <v>1027</v>
      </c>
      <c r="L3" s="101"/>
    </row>
    <row r="4" spans="1:23" s="76" customFormat="1" ht="26.4" customHeight="1" thickBot="1" x14ac:dyDescent="0.35">
      <c r="B4" s="89">
        <f>Analysis!B10</f>
        <v>300</v>
      </c>
      <c r="C4" s="90"/>
      <c r="E4" s="91">
        <f>Analysis!E10</f>
        <v>0.28999999999999998</v>
      </c>
      <c r="F4" s="92"/>
      <c r="H4" s="93">
        <f>Analysis!F10</f>
        <v>541380</v>
      </c>
      <c r="I4" s="94"/>
      <c r="K4" s="95">
        <f ca="1">Analysis!G10</f>
        <v>4.503333333333333</v>
      </c>
      <c r="L4" s="96"/>
    </row>
    <row r="8" spans="1:23" ht="15" thickBot="1" x14ac:dyDescent="0.35"/>
    <row r="9" spans="1:23" ht="15" thickBot="1" x14ac:dyDescent="0.35">
      <c r="B9" s="77" t="s">
        <v>6</v>
      </c>
      <c r="C9" s="78" t="s">
        <v>1030</v>
      </c>
      <c r="D9" s="79" t="s">
        <v>1028</v>
      </c>
    </row>
    <row r="10" spans="1:23" x14ac:dyDescent="0.3">
      <c r="B10" s="80" t="s">
        <v>15</v>
      </c>
      <c r="C10" s="81">
        <v>42</v>
      </c>
      <c r="D10" s="82">
        <v>0.33333333333333331</v>
      </c>
    </row>
    <row r="11" spans="1:23" x14ac:dyDescent="0.3">
      <c r="B11" s="83" t="s">
        <v>11</v>
      </c>
      <c r="C11" s="17">
        <v>48</v>
      </c>
      <c r="D11" s="84">
        <v>0.29166666666666669</v>
      </c>
    </row>
    <row r="12" spans="1:23" x14ac:dyDescent="0.3">
      <c r="B12" s="83" t="s">
        <v>24</v>
      </c>
      <c r="C12" s="17">
        <v>50</v>
      </c>
      <c r="D12" s="84">
        <v>0.24</v>
      </c>
    </row>
    <row r="13" spans="1:23" x14ac:dyDescent="0.3">
      <c r="B13" s="83" t="s">
        <v>19</v>
      </c>
      <c r="C13" s="17">
        <v>51</v>
      </c>
      <c r="D13" s="84">
        <v>0.21568627450980393</v>
      </c>
    </row>
    <row r="14" spans="1:23" x14ac:dyDescent="0.3">
      <c r="B14" s="83" t="s">
        <v>59</v>
      </c>
      <c r="C14" s="17">
        <v>52</v>
      </c>
      <c r="D14" s="84">
        <v>0.36538461538461536</v>
      </c>
    </row>
    <row r="15" spans="1:23" ht="15" thickBot="1" x14ac:dyDescent="0.35">
      <c r="B15" s="85" t="s">
        <v>64</v>
      </c>
      <c r="C15" s="53">
        <v>57</v>
      </c>
      <c r="D15" s="86">
        <v>0.2982456140350877</v>
      </c>
    </row>
    <row r="16" spans="1:23" ht="15" thickBot="1" x14ac:dyDescent="0.35">
      <c r="B16" s="77" t="s">
        <v>1029</v>
      </c>
      <c r="C16" s="78">
        <v>300</v>
      </c>
      <c r="D16" s="87">
        <v>1.744316503929507</v>
      </c>
    </row>
  </sheetData>
  <mergeCells count="9">
    <mergeCell ref="B4:C4"/>
    <mergeCell ref="E4:F4"/>
    <mergeCell ref="H4:I4"/>
    <mergeCell ref="K4:L4"/>
    <mergeCell ref="A1:T1"/>
    <mergeCell ref="B3:C3"/>
    <mergeCell ref="H3:I3"/>
    <mergeCell ref="E3:F3"/>
    <mergeCell ref="K3:L3"/>
  </mergeCells>
  <pageMargins left="0.7" right="0.7" top="0.75" bottom="0.75" header="0.3" footer="0.3"/>
  <drawing r:id="rId2"/>
  <picture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722615-FD21-45CF-B9F4-B70C02AC247B}">
  <dimension ref="A1:H25"/>
  <sheetViews>
    <sheetView workbookViewId="0">
      <selection activeCell="B5" sqref="B5"/>
    </sheetView>
  </sheetViews>
  <sheetFormatPr defaultRowHeight="14.4" x14ac:dyDescent="0.3"/>
  <cols>
    <col min="1" max="1" width="20.33203125" bestFit="1" customWidth="1"/>
    <col min="2" max="2" width="34" bestFit="1" customWidth="1"/>
    <col min="3" max="3" width="24.77734375" bestFit="1" customWidth="1"/>
    <col min="4" max="4" width="50.33203125" bestFit="1" customWidth="1"/>
  </cols>
  <sheetData>
    <row r="1" spans="1:5" ht="18" thickBot="1" x14ac:dyDescent="0.35">
      <c r="A1" s="113" t="s">
        <v>995</v>
      </c>
      <c r="B1" s="114"/>
      <c r="C1" s="114"/>
      <c r="D1" s="115"/>
      <c r="E1" s="2"/>
    </row>
    <row r="2" spans="1:5" ht="14.4" customHeight="1" thickBot="1" x14ac:dyDescent="0.35">
      <c r="A2" s="116"/>
      <c r="B2" s="117"/>
      <c r="C2" s="117"/>
      <c r="D2" s="118"/>
    </row>
    <row r="3" spans="1:5" x14ac:dyDescent="0.3">
      <c r="A3" s="3" t="s">
        <v>994</v>
      </c>
      <c r="B3" s="3" t="s">
        <v>993</v>
      </c>
      <c r="C3" s="3" t="s">
        <v>992</v>
      </c>
      <c r="D3" s="3" t="s">
        <v>991</v>
      </c>
    </row>
    <row r="4" spans="1:5" x14ac:dyDescent="0.3">
      <c r="A4" s="4" t="s">
        <v>987</v>
      </c>
      <c r="B4" s="6" t="s">
        <v>990</v>
      </c>
      <c r="C4" s="4" t="s">
        <v>989</v>
      </c>
      <c r="D4" s="4" t="s">
        <v>988</v>
      </c>
    </row>
    <row r="5" spans="1:5" x14ac:dyDescent="0.3">
      <c r="A5" s="4" t="s">
        <v>987</v>
      </c>
      <c r="B5" s="6" t="s">
        <v>986</v>
      </c>
      <c r="C5" s="4" t="s">
        <v>985</v>
      </c>
      <c r="D5" s="4" t="s">
        <v>984</v>
      </c>
    </row>
    <row r="6" spans="1:5" x14ac:dyDescent="0.3">
      <c r="A6" s="4" t="s">
        <v>977</v>
      </c>
      <c r="B6" s="6" t="s">
        <v>983</v>
      </c>
      <c r="C6" s="4" t="s">
        <v>982</v>
      </c>
      <c r="D6" s="4" t="s">
        <v>981</v>
      </c>
    </row>
    <row r="7" spans="1:5" x14ac:dyDescent="0.3">
      <c r="A7" s="4" t="s">
        <v>977</v>
      </c>
      <c r="B7" s="6" t="s">
        <v>980</v>
      </c>
      <c r="C7" s="4" t="s">
        <v>979</v>
      </c>
      <c r="D7" s="4" t="s">
        <v>978</v>
      </c>
    </row>
    <row r="8" spans="1:5" x14ac:dyDescent="0.3">
      <c r="A8" s="4" t="s">
        <v>977</v>
      </c>
      <c r="B8" s="6" t="s">
        <v>976</v>
      </c>
      <c r="C8" s="4" t="s">
        <v>975</v>
      </c>
      <c r="D8" s="4" t="s">
        <v>974</v>
      </c>
    </row>
    <row r="9" spans="1:5" x14ac:dyDescent="0.3">
      <c r="A9" s="4" t="s">
        <v>973</v>
      </c>
      <c r="B9" s="6" t="s">
        <v>972</v>
      </c>
      <c r="C9" s="4" t="s">
        <v>971</v>
      </c>
      <c r="D9" s="4" t="s">
        <v>970</v>
      </c>
    </row>
    <row r="10" spans="1:5" x14ac:dyDescent="0.3">
      <c r="A10" s="4" t="s">
        <v>966</v>
      </c>
      <c r="B10" s="6" t="s">
        <v>969</v>
      </c>
      <c r="C10" s="4" t="s">
        <v>968</v>
      </c>
      <c r="D10" s="4" t="s">
        <v>967</v>
      </c>
    </row>
    <row r="11" spans="1:5" x14ac:dyDescent="0.3">
      <c r="A11" s="4" t="s">
        <v>966</v>
      </c>
      <c r="B11" s="6" t="s">
        <v>965</v>
      </c>
      <c r="C11" s="4" t="s">
        <v>964</v>
      </c>
      <c r="D11" s="4" t="s">
        <v>963</v>
      </c>
    </row>
    <row r="12" spans="1:5" x14ac:dyDescent="0.3">
      <c r="A12" s="4" t="s">
        <v>960</v>
      </c>
      <c r="B12" s="6" t="s">
        <v>962</v>
      </c>
      <c r="C12" s="4" t="s">
        <v>958</v>
      </c>
      <c r="D12" s="4" t="s">
        <v>961</v>
      </c>
    </row>
    <row r="13" spans="1:5" x14ac:dyDescent="0.3">
      <c r="A13" s="4" t="s">
        <v>960</v>
      </c>
      <c r="B13" s="6" t="s">
        <v>959</v>
      </c>
      <c r="C13" s="4" t="s">
        <v>958</v>
      </c>
      <c r="D13" s="4" t="s">
        <v>957</v>
      </c>
    </row>
    <row r="14" spans="1:5" x14ac:dyDescent="0.3">
      <c r="A14" s="4" t="s">
        <v>950</v>
      </c>
      <c r="B14" s="6" t="s">
        <v>956</v>
      </c>
      <c r="C14" s="4" t="s">
        <v>955</v>
      </c>
      <c r="D14" s="4" t="s">
        <v>954</v>
      </c>
    </row>
    <row r="15" spans="1:5" x14ac:dyDescent="0.3">
      <c r="A15" s="4" t="s">
        <v>950</v>
      </c>
      <c r="B15" s="6" t="s">
        <v>953</v>
      </c>
      <c r="C15" s="4" t="s">
        <v>952</v>
      </c>
      <c r="D15" s="4" t="s">
        <v>951</v>
      </c>
    </row>
    <row r="16" spans="1:5" x14ac:dyDescent="0.3">
      <c r="A16" s="4" t="s">
        <v>950</v>
      </c>
      <c r="B16" s="6" t="s">
        <v>949</v>
      </c>
      <c r="C16" s="4" t="s">
        <v>948</v>
      </c>
      <c r="D16" s="4" t="s">
        <v>947</v>
      </c>
    </row>
    <row r="17" spans="1:8" x14ac:dyDescent="0.3">
      <c r="A17" s="4" t="s">
        <v>943</v>
      </c>
      <c r="B17" s="6" t="s">
        <v>946</v>
      </c>
      <c r="C17" s="4" t="s">
        <v>945</v>
      </c>
      <c r="D17" s="4" t="s">
        <v>944</v>
      </c>
    </row>
    <row r="18" spans="1:8" x14ac:dyDescent="0.3">
      <c r="A18" s="4" t="s">
        <v>943</v>
      </c>
      <c r="B18" s="6" t="s">
        <v>942</v>
      </c>
      <c r="C18" s="4" t="s">
        <v>941</v>
      </c>
      <c r="D18" s="4" t="s">
        <v>940</v>
      </c>
    </row>
    <row r="19" spans="1:8" x14ac:dyDescent="0.3">
      <c r="A19" s="4" t="s">
        <v>939</v>
      </c>
      <c r="B19" s="6" t="s">
        <v>938</v>
      </c>
      <c r="C19" s="4" t="s">
        <v>937</v>
      </c>
      <c r="D19" s="4" t="s">
        <v>936</v>
      </c>
    </row>
    <row r="20" spans="1:8" x14ac:dyDescent="0.3">
      <c r="A20" s="4" t="s">
        <v>935</v>
      </c>
      <c r="B20" s="6" t="s">
        <v>934</v>
      </c>
      <c r="C20" s="4" t="s">
        <v>933</v>
      </c>
      <c r="D20" s="4" t="s">
        <v>932</v>
      </c>
    </row>
    <row r="21" spans="1:8" x14ac:dyDescent="0.3">
      <c r="A21" s="4" t="s">
        <v>931</v>
      </c>
      <c r="B21" s="6" t="s">
        <v>930</v>
      </c>
      <c r="C21" s="4" t="s">
        <v>929</v>
      </c>
      <c r="D21" s="4" t="s">
        <v>928</v>
      </c>
      <c r="H21" t="s">
        <v>0</v>
      </c>
    </row>
    <row r="22" spans="1:8" ht="15" thickBot="1" x14ac:dyDescent="0.35">
      <c r="A22" s="5" t="s">
        <v>927</v>
      </c>
      <c r="B22" s="7" t="s">
        <v>926</v>
      </c>
      <c r="C22" s="5" t="s">
        <v>925</v>
      </c>
      <c r="D22" s="5" t="s">
        <v>924</v>
      </c>
    </row>
    <row r="24" spans="1:8" ht="15" thickBot="1" x14ac:dyDescent="0.35"/>
    <row r="25" spans="1:8" ht="24" customHeight="1" thickBot="1" x14ac:dyDescent="0.35">
      <c r="A25" s="110" t="s">
        <v>923</v>
      </c>
      <c r="B25" s="111"/>
      <c r="C25" s="111"/>
      <c r="D25" s="112"/>
      <c r="E25" s="1"/>
    </row>
  </sheetData>
  <mergeCells count="3">
    <mergeCell ref="A25:D25"/>
    <mergeCell ref="A1:D1"/>
    <mergeCell ref="A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Raw Data</vt:lpstr>
      <vt:lpstr>Calculations</vt:lpstr>
      <vt:lpstr>Analysis</vt:lpstr>
      <vt:lpstr>Dashboard</vt:lpstr>
      <vt:lpstr>Formula Reference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SANTOSH BHOGATE</dc:creator>
  <cp:lastModifiedBy>SANTOSH BHOGATE</cp:lastModifiedBy>
  <dcterms:created xsi:type="dcterms:W3CDTF">2026-07-22T14:06:27Z</dcterms:created>
  <dcterms:modified xsi:type="dcterms:W3CDTF">2026-07-23T13:43:12Z</dcterms:modified>
</cp:coreProperties>
</file>